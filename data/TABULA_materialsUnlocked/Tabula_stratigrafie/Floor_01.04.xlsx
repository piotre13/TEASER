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4"/>
    <sheet state="visible" name="Caratteristiche componente" sheetId="2" r:id="rId5"/>
    <sheet state="hidden" name="Grafici" sheetId="3" r:id="rId6"/>
    <sheet state="hidden" name="Calcoli componente" sheetId="4" r:id="rId7"/>
    <sheet state="hidden" name="Calcoli matriciali" sheetId="5" r:id="rId8"/>
    <sheet state="visible" name="Condensa" sheetId="6" r:id="rId9"/>
    <sheet state="hidden" name="Glaser" sheetId="7" r:id="rId10"/>
    <sheet state="hidden" name="Temperatura" sheetId="8" r:id="rId11"/>
    <sheet state="hidden" name="Pressione vapore" sheetId="9" r:id="rId12"/>
    <sheet state="visible" name="Materiali" sheetId="10" r:id="rId13"/>
    <sheet state="hidden" name="Dati" sheetId="11" r:id="rId14"/>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<sst xmlns="http://schemas.openxmlformats.org/spreadsheetml/2006/main" count="1623" uniqueCount="658">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</sst>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317087806"/>
        <c:axId val="396713639"/>
      </c:scatterChart>
      <c:valAx>
        <c:axId val="31708780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96713639"/>
      </c:valAx>
      <c:valAx>
        <c:axId val="39671363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17087806"/>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Dati!$N$3:$N$27</c:f>
              <c:numCache/>
            </c:numRef>
          </c:yVal>
        </c:ser>
        <c:ser>
          <c:idx val="2"/>
          <c:order val="2"/>
          <c:spPr>
            <a:ln>
              <a:noFill/>
            </a:ln>
          </c:spPr>
          <c:marker>
            <c:symbol val="circle"/>
            <c:size val="7"/>
            <c:spPr>
              <a:solidFill>
                <a:srgbClr val="FFFF00"/>
              </a:solidFill>
              <a:ln cmpd="sng">
                <a:solidFill>
                  <a:srgbClr val="FFFF00"/>
                </a:solidFill>
              </a:ln>
            </c:spPr>
          </c:marker>
          <c:xVal>
            <c:numRef>
              <c:f>Dati!$L$3:$L$27</c:f>
            </c:numRef>
          </c:xVal>
          <c:yVal>
            <c:numRef>
              <c:f>Dati!$P$3:$P$27</c:f>
              <c:numCache/>
            </c:numRef>
          </c:yVal>
        </c:ser>
        <c:dLbls>
          <c:showLegendKey val="0"/>
          <c:showVal val="0"/>
          <c:showCatName val="0"/>
          <c:showSerName val="0"/>
          <c:showPercent val="0"/>
          <c:showBubbleSize val="0"/>
        </c:dLbls>
        <c:axId val="1846211108"/>
        <c:axId val="794744707"/>
      </c:scatterChart>
      <c:valAx>
        <c:axId val="184621110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94744707"/>
      </c:valAx>
      <c:valAx>
        <c:axId val="79474470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4621110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ser>
          <c:idx val="1"/>
          <c:order val="1"/>
          <c:spPr>
            <a:ln>
              <a:noFill/>
            </a:ln>
          </c:spPr>
          <c:marker>
            <c:symbol val="circle"/>
            <c:size val="7"/>
            <c:spPr>
              <a:solidFill>
                <a:srgbClr val="FF00FF"/>
              </a:solidFill>
              <a:ln cmpd="sng">
                <a:solidFill>
                  <a:srgbClr val="FF00FF"/>
                </a:solidFill>
              </a:ln>
            </c:spPr>
          </c:marker>
          <c:xVal>
            <c:numRef>
              <c:f>Dati!$L$3:$L$27</c:f>
            </c:numRef>
          </c:xVal>
          <c:yVal>
            <c:numRef>
              <c:f>Dati!$O$3:$O$27</c:f>
              <c:numCache/>
            </c:numRef>
          </c:yVal>
        </c:ser>
        <c:dLbls>
          <c:showLegendKey val="0"/>
          <c:showVal val="0"/>
          <c:showCatName val="0"/>
          <c:showSerName val="0"/>
          <c:showPercent val="0"/>
          <c:showBubbleSize val="0"/>
        </c:dLbls>
        <c:axId val="458669612"/>
        <c:axId val="669937387"/>
      </c:scatterChart>
      <c:valAx>
        <c:axId val="4586696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69937387"/>
      </c:valAx>
      <c:valAx>
        <c:axId val="669937387"/>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8669612"/>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26609451"/>
        <c:axId val="677813116"/>
      </c:scatterChart>
      <c:valAx>
        <c:axId val="22660945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7813116"/>
      </c:valAx>
      <c:valAx>
        <c:axId val="677813116"/>
        <c:scaling>
          <c:orientation val="minMax"/>
        </c:scaling>
        <c:delete val="0"/>
        <c:axPos val="l"/>
        <c:tickLblPos val="nextTo"/>
        <c:spPr>
          <a:ln>
            <a:noFill/>
          </a:ln>
        </c:spPr>
        <c:crossAx val="22660945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705059107"/>
        <c:axId val="779282063"/>
      </c:scatterChart>
      <c:valAx>
        <c:axId val="170505910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79282063"/>
      </c:valAx>
      <c:valAx>
        <c:axId val="779282063"/>
        <c:scaling>
          <c:orientation val="minMax"/>
        </c:scaling>
        <c:delete val="0"/>
        <c:axPos val="l"/>
        <c:tickLblPos val="nextTo"/>
        <c:spPr>
          <a:ln>
            <a:noFill/>
          </a:ln>
        </c:spPr>
        <c:crossAx val="170505910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73464668"/>
        <c:axId val="1555441164"/>
      </c:scatterChart>
      <c:valAx>
        <c:axId val="14734646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55441164"/>
      </c:valAx>
      <c:valAx>
        <c:axId val="155544116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73464668"/>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1.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1.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f>'Calcoli componente'!$L$37</f>
        <v>4.255471088</v>
      </c>
      <c r="O6" s="54" t="s">
        <v>36</v>
      </c>
      <c r="P6" s="55">
        <f>'Calcoli componente'!K37</f>
        <v>0.955800193</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v>2300.0</v>
      </c>
      <c r="F7" s="61">
        <v>213.0</v>
      </c>
      <c r="G7" s="62">
        <v>840.0</v>
      </c>
      <c r="H7" s="63">
        <v>1.0</v>
      </c>
      <c r="I7" s="64"/>
      <c r="J7" s="65"/>
      <c r="K7" s="18"/>
      <c r="L7" s="18"/>
      <c r="M7" s="66" t="s">
        <v>39</v>
      </c>
      <c r="N7" s="67">
        <f>'Calcoli componente'!$L$44</f>
        <v>8.814033558</v>
      </c>
      <c r="O7" s="68" t="s">
        <v>40</v>
      </c>
      <c r="P7" s="69">
        <f>'Calcoli componente'!K44</f>
        <v>2.017091856</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30.0</v>
      </c>
      <c r="E8" s="74">
        <v>2000.0</v>
      </c>
      <c r="F8" s="75">
        <v>69.0</v>
      </c>
      <c r="G8" s="76">
        <v>880.0</v>
      </c>
      <c r="H8" s="77">
        <v>1.16</v>
      </c>
      <c r="I8" s="78"/>
      <c r="J8" s="79"/>
      <c r="K8" s="18"/>
      <c r="L8" s="18"/>
      <c r="M8" s="80" t="s">
        <v>43</v>
      </c>
      <c r="N8" s="81">
        <f>'Calcoli componente'!$L$30</f>
        <v>0.6068006554</v>
      </c>
      <c r="O8" s="82" t="s">
        <v>44</v>
      </c>
      <c r="P8" s="83">
        <f>'Calcoli componente'!K30</f>
        <v>-8.842757308</v>
      </c>
      <c r="Q8" s="84" t="s">
        <v>37</v>
      </c>
      <c r="R8" s="18"/>
      <c r="S8" s="18"/>
      <c r="T8" s="18"/>
      <c r="U8" s="18"/>
      <c r="V8" s="18"/>
      <c r="W8" s="18"/>
      <c r="X8" s="18"/>
      <c r="Y8" s="18"/>
      <c r="Z8" s="18"/>
      <c r="AA8" s="18"/>
      <c r="AB8" s="45" t="s">
        <v>45</v>
      </c>
      <c r="AC8" s="46">
        <v>0.1</v>
      </c>
      <c r="AD8" s="46">
        <v>0.04</v>
      </c>
    </row>
    <row r="9" ht="15.0" customHeight="1">
      <c r="A9" s="18"/>
      <c r="B9" s="71" t="str">
        <f>ROMAN(3)</f>
        <v>III</v>
      </c>
      <c r="C9" s="72"/>
      <c r="D9" s="73"/>
      <c r="E9" s="74"/>
      <c r="F9" s="75"/>
      <c r="G9" s="76"/>
      <c r="H9" s="77"/>
      <c r="I9" s="78"/>
      <c r="J9" s="79"/>
      <c r="K9" s="18"/>
      <c r="L9" s="18"/>
      <c r="M9" s="85" t="s">
        <v>46</v>
      </c>
      <c r="N9" s="86">
        <f>'Calcoli componente'!$E$37</f>
        <v>65.67078547</v>
      </c>
      <c r="O9" s="87" t="s">
        <v>47</v>
      </c>
      <c r="P9" s="88"/>
      <c r="Q9" s="56"/>
      <c r="R9" s="18"/>
      <c r="S9" s="18"/>
      <c r="T9" s="18"/>
      <c r="U9" s="18"/>
      <c r="V9" s="18"/>
      <c r="W9" s="18"/>
      <c r="X9" s="18"/>
      <c r="Y9" s="18"/>
      <c r="Z9" s="18"/>
      <c r="AA9" s="18"/>
      <c r="AB9" s="45" t="s">
        <v>48</v>
      </c>
      <c r="AC9" s="46">
        <v>0.13</v>
      </c>
      <c r="AD9" s="46">
        <v>0.13</v>
      </c>
    </row>
    <row r="10" ht="15.75" customHeight="1">
      <c r="A10" s="18"/>
      <c r="B10" s="71" t="str">
        <f>ROMAN(4)</f>
        <v>IV</v>
      </c>
      <c r="C10" s="72"/>
      <c r="D10" s="73"/>
      <c r="E10" s="74"/>
      <c r="F10" s="75"/>
      <c r="G10" s="76"/>
      <c r="H10" s="77"/>
      <c r="I10" s="78"/>
      <c r="J10" s="79"/>
      <c r="K10" s="18"/>
      <c r="L10" s="18"/>
      <c r="M10" s="89" t="s">
        <v>49</v>
      </c>
      <c r="N10" s="90">
        <f>'Calcoli componente'!$E$44</f>
        <v>129.2001089</v>
      </c>
      <c r="O10" s="91" t="s">
        <v>50</v>
      </c>
      <c r="P10" s="92"/>
      <c r="Q10" s="93"/>
      <c r="R10" s="18"/>
      <c r="S10" s="18"/>
      <c r="T10" s="18"/>
      <c r="U10" s="18"/>
      <c r="V10" s="18"/>
      <c r="W10" s="18"/>
      <c r="X10" s="18"/>
      <c r="Y10" s="18"/>
      <c r="Z10" s="18"/>
      <c r="AA10" s="18"/>
      <c r="AB10" s="45" t="s">
        <v>51</v>
      </c>
      <c r="AC10" s="46">
        <v>0.13</v>
      </c>
      <c r="AD10" s="46">
        <v>0.13</v>
      </c>
    </row>
    <row r="11" ht="15.0" customHeight="1">
      <c r="A11" s="18"/>
      <c r="B11" s="71" t="str">
        <f>ROMAN(5)</f>
        <v>V</v>
      </c>
      <c r="C11" s="72"/>
      <c r="D11" s="73"/>
      <c r="E11" s="74"/>
      <c r="F11" s="75"/>
      <c r="G11" s="76"/>
      <c r="H11" s="94"/>
      <c r="I11" s="78"/>
      <c r="J11" s="79"/>
      <c r="K11" s="18"/>
      <c r="L11" s="18"/>
      <c r="M11" s="52" t="s">
        <v>52</v>
      </c>
      <c r="N11" s="95">
        <f>'Calcoli componente'!$K$26</f>
        <v>0.4786206897</v>
      </c>
      <c r="O11" s="96" t="s">
        <v>53</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54</v>
      </c>
      <c r="N12" s="99">
        <f>'Calcoli componente'!$L$26</f>
        <v>2.089337176</v>
      </c>
      <c r="O12" s="100" t="s">
        <v>55</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56</v>
      </c>
      <c r="N13" s="102">
        <f>'Calcoli componente'!$L$33</f>
        <v>0.2904273482</v>
      </c>
      <c r="O13" s="103"/>
      <c r="P13" s="92"/>
      <c r="Q13" s="93"/>
      <c r="R13" s="18"/>
      <c r="S13" s="18"/>
      <c r="T13" s="18"/>
      <c r="U13" s="18"/>
      <c r="V13" s="18"/>
      <c r="W13" s="18"/>
      <c r="X13" s="18"/>
      <c r="Y13" s="18"/>
      <c r="Z13" s="18"/>
      <c r="AA13" s="18"/>
      <c r="AB13" s="104" t="str">
        <f>D2</f>
        <v>Chiusura orizzontale inferiore</v>
      </c>
      <c r="AC13" s="105">
        <f>DGET($AB$4:$AD$10,"Rsi",$AB$12:$AB$13)</f>
        <v>0.17</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57</v>
      </c>
      <c r="N15" s="86">
        <f>'Calcoli componente'!C17</f>
        <v>31</v>
      </c>
      <c r="O15" s="87" t="s">
        <v>58</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59</v>
      </c>
      <c r="N16" s="106">
        <f>'Calcoli componente'!I17</f>
        <v>623</v>
      </c>
      <c r="O16" s="100" t="s">
        <v>60</v>
      </c>
      <c r="P16" s="101"/>
      <c r="Q16" s="70"/>
      <c r="R16" s="18"/>
      <c r="S16" s="18"/>
      <c r="T16" s="18"/>
      <c r="U16" s="18"/>
      <c r="V16" s="18"/>
      <c r="W16" s="18"/>
      <c r="X16" s="18"/>
      <c r="Y16" s="18"/>
      <c r="Z16" s="18"/>
      <c r="AA16" s="18"/>
      <c r="AB16" s="18"/>
      <c r="AC16" s="18"/>
      <c r="AD16" s="18"/>
    </row>
    <row r="17" ht="13.5" customHeight="1">
      <c r="A17" s="18"/>
      <c r="B17" s="107" t="s">
        <v>61</v>
      </c>
      <c r="C17" s="35"/>
      <c r="D17" s="108"/>
      <c r="E17" s="109"/>
      <c r="F17" s="109"/>
      <c r="G17" s="109"/>
      <c r="H17" s="109"/>
      <c r="I17" s="110">
        <f>$AD$13</f>
        <v>0.04</v>
      </c>
      <c r="J17" s="111"/>
      <c r="K17" s="18"/>
      <c r="L17" s="18"/>
      <c r="M17" s="89" t="s">
        <v>62</v>
      </c>
      <c r="N17" s="112">
        <f>ABS((SIGN($P$8)*(ABS($P$8)/24-INT(ABS($P$8)/24))-IF(AND($P$8&gt;0,(ABS($P$8)/24-INT(ABS($P$8)/24))&lt;&gt;0),1,0))*24)</f>
        <v>8.842757308</v>
      </c>
      <c r="O17" s="103" t="s">
        <v>37</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63</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64</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65</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66</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67</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68</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69</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70</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71</v>
      </c>
      <c r="D4" s="24" t="s">
        <v>72</v>
      </c>
      <c r="E4" s="119"/>
      <c r="F4" s="119"/>
      <c r="G4" s="119"/>
      <c r="H4" s="120"/>
      <c r="I4" s="24" t="s">
        <v>73</v>
      </c>
      <c r="J4" s="119"/>
      <c r="K4" s="119"/>
      <c r="L4" s="119"/>
      <c r="M4" s="120"/>
      <c r="N4" s="18"/>
      <c r="O4" s="18"/>
      <c r="P4" s="18"/>
      <c r="Q4" s="18"/>
      <c r="R4" s="121"/>
      <c r="S4" s="122"/>
      <c r="T4" s="122"/>
      <c r="U4" s="122"/>
      <c r="V4" s="122"/>
      <c r="W4" s="29"/>
      <c r="X4" s="24" t="s">
        <v>74</v>
      </c>
      <c r="Y4" s="119"/>
      <c r="Z4" s="119"/>
      <c r="AA4" s="119"/>
      <c r="AB4" s="120"/>
      <c r="AC4" s="24" t="s">
        <v>75</v>
      </c>
      <c r="AD4" s="119"/>
      <c r="AE4" s="119"/>
      <c r="AF4" s="119"/>
      <c r="AG4" s="120"/>
      <c r="AH4" s="24" t="s">
        <v>76</v>
      </c>
      <c r="AI4" s="119"/>
      <c r="AJ4" s="119"/>
      <c r="AK4" s="119"/>
      <c r="AL4" s="120"/>
      <c r="AM4" s="123" t="s">
        <v>77</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78</v>
      </c>
      <c r="I5" s="71" t="s">
        <v>15</v>
      </c>
      <c r="J5" s="131" t="s">
        <v>79</v>
      </c>
      <c r="K5" s="33" t="s">
        <v>18</v>
      </c>
      <c r="L5" s="132" t="s">
        <v>80</v>
      </c>
      <c r="M5" s="130" t="s">
        <v>81</v>
      </c>
      <c r="N5" s="19"/>
      <c r="O5" s="121" t="s">
        <v>82</v>
      </c>
      <c r="P5" s="133" t="s">
        <v>83</v>
      </c>
      <c r="Q5" s="19"/>
      <c r="R5" s="127" t="s">
        <v>78</v>
      </c>
      <c r="S5" s="128" t="s">
        <v>84</v>
      </c>
      <c r="T5" s="134" t="s">
        <v>85</v>
      </c>
      <c r="U5" s="134" t="s">
        <v>86</v>
      </c>
      <c r="V5" s="134" t="s">
        <v>87</v>
      </c>
      <c r="W5" s="135" t="s">
        <v>88</v>
      </c>
      <c r="X5" s="71" t="s">
        <v>89</v>
      </c>
      <c r="Y5" s="33" t="s">
        <v>90</v>
      </c>
      <c r="Z5" s="33" t="s">
        <v>91</v>
      </c>
      <c r="AA5" s="33" t="s">
        <v>92</v>
      </c>
      <c r="AB5" s="130" t="s">
        <v>92</v>
      </c>
      <c r="AC5" s="71" t="s">
        <v>89</v>
      </c>
      <c r="AD5" s="33" t="s">
        <v>90</v>
      </c>
      <c r="AE5" s="33" t="s">
        <v>91</v>
      </c>
      <c r="AF5" s="33" t="s">
        <v>92</v>
      </c>
      <c r="AG5" s="130" t="s">
        <v>92</v>
      </c>
      <c r="AH5" s="71" t="s">
        <v>89</v>
      </c>
      <c r="AI5" s="33" t="s">
        <v>90</v>
      </c>
      <c r="AJ5" s="33" t="s">
        <v>91</v>
      </c>
      <c r="AK5" s="33" t="s">
        <v>92</v>
      </c>
      <c r="AL5" s="130" t="s">
        <v>92</v>
      </c>
      <c r="AM5" s="131" t="s">
        <v>89</v>
      </c>
      <c r="AN5" s="33" t="s">
        <v>90</v>
      </c>
      <c r="AO5" s="33" t="s">
        <v>91</v>
      </c>
      <c r="AP5" s="33" t="s">
        <v>92</v>
      </c>
      <c r="AQ5" s="130" t="s">
        <v>92</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93</v>
      </c>
      <c r="E6" s="38" t="s">
        <v>25</v>
      </c>
      <c r="F6" s="39" t="s">
        <v>26</v>
      </c>
      <c r="G6" s="136" t="s">
        <v>27</v>
      </c>
      <c r="H6" s="137" t="s">
        <v>94</v>
      </c>
      <c r="I6" s="37" t="s">
        <v>95</v>
      </c>
      <c r="J6" s="138" t="s">
        <v>96</v>
      </c>
      <c r="K6" s="136" t="s">
        <v>97</v>
      </c>
      <c r="L6" s="136" t="s">
        <v>98</v>
      </c>
      <c r="M6" s="137" t="s">
        <v>99</v>
      </c>
      <c r="N6" s="19"/>
      <c r="O6" s="37" t="s">
        <v>100</v>
      </c>
      <c r="P6" s="137" t="s">
        <v>100</v>
      </c>
      <c r="Q6" s="19"/>
      <c r="R6" s="37" t="s">
        <v>96</v>
      </c>
      <c r="S6" s="136" t="s">
        <v>25</v>
      </c>
      <c r="T6" s="136" t="s">
        <v>25</v>
      </c>
      <c r="U6" s="136" t="s">
        <v>25</v>
      </c>
      <c r="V6" s="136" t="s">
        <v>25</v>
      </c>
      <c r="W6" s="39" t="s">
        <v>25</v>
      </c>
      <c r="X6" s="37" t="s">
        <v>25</v>
      </c>
      <c r="Y6" s="136" t="s">
        <v>25</v>
      </c>
      <c r="Z6" s="136" t="s">
        <v>25</v>
      </c>
      <c r="AA6" s="136" t="s">
        <v>101</v>
      </c>
      <c r="AB6" s="137" t="s">
        <v>102</v>
      </c>
      <c r="AC6" s="37" t="s">
        <v>103</v>
      </c>
      <c r="AD6" s="136" t="s">
        <v>104</v>
      </c>
      <c r="AE6" s="136" t="s">
        <v>105</v>
      </c>
      <c r="AF6" s="136" t="s">
        <v>101</v>
      </c>
      <c r="AG6" s="137" t="s">
        <v>102</v>
      </c>
      <c r="AH6" s="37" t="s">
        <v>106</v>
      </c>
      <c r="AI6" s="136" t="s">
        <v>107</v>
      </c>
      <c r="AJ6" s="136" t="s">
        <v>108</v>
      </c>
      <c r="AK6" s="136" t="s">
        <v>101</v>
      </c>
      <c r="AL6" s="137" t="s">
        <v>102</v>
      </c>
      <c r="AM6" s="138" t="s">
        <v>25</v>
      </c>
      <c r="AN6" s="136" t="s">
        <v>25</v>
      </c>
      <c r="AO6" s="136" t="s">
        <v>25</v>
      </c>
      <c r="AP6" s="39" t="s">
        <v>101</v>
      </c>
      <c r="AQ6" s="137" t="s">
        <v>102</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piastrelle</v>
      </c>
      <c r="C7" s="140">
        <f>'Caratteristiche componente'!D7</f>
        <v>1</v>
      </c>
      <c r="D7" s="141">
        <f>IF('Caratteristiche componente'!E7&lt;&gt;"",'Caratteristiche componente'!E7,"")</f>
        <v>2300</v>
      </c>
      <c r="E7" s="141">
        <f>IF('Caratteristiche componente'!F7&lt;&gt;"",'Caratteristiche componente'!F7,"")</f>
        <v>213</v>
      </c>
      <c r="F7" s="142">
        <f>IF('Caratteristiche componente'!G7&lt;&gt;"",'Caratteristiche componente'!G7,"")</f>
        <v>840</v>
      </c>
      <c r="G7" s="143">
        <f>IF('Caratteristiche componente'!H7&lt;&gt;"",'Caratteristiche componente'!H7,IF('Caratteristiche componente'!I7&lt;&gt;"",C7/100/'Caratteristiche componente'!I7,""))</f>
        <v>1</v>
      </c>
      <c r="H7" s="144">
        <f t="shared" ref="H7:H16" si="1">IF($C7&gt;0,IF(OR($B7="intercapedine",$B7="aria"),$C7/100/$K7,$G7)/($D7*$F7),"")</f>
        <v>0.0000005175983437</v>
      </c>
      <c r="I7" s="145">
        <f t="shared" ref="I7:I16" si="2">IF($C7&gt;0,$C7/100*$D7,0)</f>
        <v>23</v>
      </c>
      <c r="J7" s="146">
        <f>IF($C7&gt;0,IF(OR('Caratteristiche componente'!$C7="intercapedine",'Caratteristiche componente'!$C7="aria",'Caratteristiche componente'!$C7="intercapedine d'aria"),0.01,$C7/100*$E7),0)</f>
        <v>2.13</v>
      </c>
      <c r="K7" s="147">
        <f t="shared" ref="K7:K16" si="3">IF($C7&gt;0,IF(OR($B7="*intercapedine",$B7="*aria"),0.158,$C7/100/$G7),0)</f>
        <v>0.01</v>
      </c>
      <c r="L7" s="147">
        <f t="shared" ref="L7:L17" si="4">IF($C7&gt;0,1/$K7,"")</f>
        <v>100</v>
      </c>
      <c r="M7" s="148">
        <f t="shared" ref="M7:M16" si="5">IF($C7&gt;0,$I7*$F7,0)</f>
        <v>19320</v>
      </c>
      <c r="N7" s="18"/>
      <c r="O7" s="149">
        <f>$M7*($K$22+$K$16+$K$15+$K$14+$K$13+$K$12+$K$11+$K$10+$K$9+$K$8+$K7/2)</f>
        <v>5865.951724</v>
      </c>
      <c r="P7" s="148">
        <f>$M7*($K$21+$K7/2)</f>
        <v>3381</v>
      </c>
      <c r="Q7" s="18"/>
      <c r="R7" s="150">
        <f t="shared" ref="R7:R16" si="6">IF($C7&gt;0,SQRT($H7*($R$26*3600)/PI()),0)</f>
        <v>0.1193104198</v>
      </c>
      <c r="S7" s="151">
        <f t="shared" ref="S7:S16" si="7">IF($C7&gt;0,($C7/100)/R7,0)</f>
        <v>0.08381497622</v>
      </c>
      <c r="T7" s="151">
        <f t="shared" ref="T7:T16" si="8">COSH($S7)*COS($S7)</f>
        <v>0.999991775</v>
      </c>
      <c r="U7" s="151">
        <f t="shared" ref="U7:U16" si="9">SINH($S7)*SIN($S7)</f>
        <v>0.007024946387</v>
      </c>
      <c r="V7" s="151">
        <f t="shared" ref="V7:V16" si="10">SINH($S7)*COS($S7)</f>
        <v>0.08361857305</v>
      </c>
      <c r="W7" s="152">
        <f t="shared" ref="W7:W16" si="11">COSH($S7)*SIN($S7)</f>
        <v>0.08401110365</v>
      </c>
      <c r="X7" s="150">
        <f t="shared" ref="X7:X16" si="12">$T7</f>
        <v>0.999991775</v>
      </c>
      <c r="Y7" s="151">
        <f t="shared" ref="Y7:Y16" si="13">$U7</f>
        <v>0.007024946387</v>
      </c>
      <c r="Z7" s="151">
        <f t="shared" ref="Z7:Z16" si="14">SQRT(X7^2+Y7^2)</f>
        <v>1.00001645</v>
      </c>
      <c r="AA7" s="153">
        <f t="shared" ref="AA7:AA16" si="15">DEGREES(IF(Y7&lt;&gt;0,ATAN2(X7,Y7),0))</f>
        <v>0.4024964688</v>
      </c>
      <c r="AB7" s="154">
        <f t="shared" ref="AB7:AB16" si="16">AA7*$R$26/360</f>
        <v>0.02683309792</v>
      </c>
      <c r="AC7" s="150">
        <f t="shared" ref="AC7:AC16" si="17">IF($C7&gt;0,-($R7/2/$G7)*($V7+$W7),0)</f>
        <v>-0.00999998355</v>
      </c>
      <c r="AD7" s="151">
        <f t="shared" ref="AD7:AD16" si="18">IF($C7&gt;0,-($R7/2/$G7)*($W7-$V7),0)</f>
        <v>-0.00002341649529</v>
      </c>
      <c r="AE7" s="151">
        <f t="shared" ref="AE7:AE16" si="19">SQRT(AC7^2+AD7^2)</f>
        <v>0.01000001097</v>
      </c>
      <c r="AF7" s="153">
        <f t="shared" ref="AF7:AF16" si="20">DEGREES(IF(AD7&lt;&gt;0,ATAN2(AC7,AD7),0))</f>
        <v>-179.8658334</v>
      </c>
      <c r="AG7" s="154">
        <f t="shared" ref="AG7:AG16" si="21">AF7*$R$26/360</f>
        <v>-11.99105556</v>
      </c>
      <c r="AH7" s="150">
        <f t="shared" ref="AH7:AH16" si="22">IF($C7&gt;0,-($G7/$R7)*($V7-$W7),0)</f>
        <v>0.003289994284</v>
      </c>
      <c r="AI7" s="151">
        <f t="shared" ref="AI7:AI16" si="23">IF($C7&gt;0,-($G7/$R7)*($V7+$W7),0)</f>
        <v>-1.404987737</v>
      </c>
      <c r="AJ7" s="151">
        <f t="shared" ref="AJ7:AJ16" si="24">SQRT(AH7^2+AI7^2)</f>
        <v>1.404991589</v>
      </c>
      <c r="AK7" s="153">
        <f t="shared" ref="AK7:AK16" si="25">DEGREES(IF(AI7&lt;&gt;0,ATAN2(AH7,AI7),0))</f>
        <v>-89.86583339</v>
      </c>
      <c r="AL7" s="154">
        <f t="shared" ref="AL7:AL16" si="26">AK7*$R$26/360</f>
        <v>-5.991055559</v>
      </c>
      <c r="AM7" s="155">
        <f t="shared" ref="AM7:AM16" si="27">$T7</f>
        <v>0.999991775</v>
      </c>
      <c r="AN7" s="151">
        <f t="shared" ref="AN7:AN16" si="28">$U7</f>
        <v>0.007024946387</v>
      </c>
      <c r="AO7" s="151">
        <f t="shared" ref="AO7:AO16" si="29">Z7</f>
        <v>1.00001645</v>
      </c>
      <c r="AP7" s="153">
        <f t="shared" ref="AP7:AP16" si="30">DEGREES(IF(AN7&lt;&gt;0,ATAN2(AM7,AN7),0))</f>
        <v>0.4024964688</v>
      </c>
      <c r="AQ7" s="154">
        <f t="shared" ref="AQ7:AQ16" si="31">AP7*$R$26/360</f>
        <v>0.02683309792</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cls</v>
      </c>
      <c r="C8" s="156">
        <f>'Caratteristiche componente'!D8</f>
        <v>30</v>
      </c>
      <c r="D8" s="74">
        <f>IF('Caratteristiche componente'!E8&lt;&gt;"",'Caratteristiche componente'!E8,"")</f>
        <v>2000</v>
      </c>
      <c r="E8" s="74">
        <f>IF('Caratteristiche componente'!F8&lt;&gt;"",'Caratteristiche componente'!F8,"")</f>
        <v>69</v>
      </c>
      <c r="F8" s="76">
        <f>IF('Caratteristiche componente'!G8&lt;&gt;"",'Caratteristiche componente'!G8,"")</f>
        <v>880</v>
      </c>
      <c r="G8" s="77">
        <f>IF('Caratteristiche componente'!H8&lt;&gt;"",'Caratteristiche componente'!H8,IF('Caratteristiche componente'!I8&lt;&gt;"",C8/100/'Caratteristiche componente'!I8,""))</f>
        <v>1.16</v>
      </c>
      <c r="H8" s="157">
        <f t="shared" si="1"/>
        <v>0.0000006590909091</v>
      </c>
      <c r="I8" s="158">
        <f t="shared" si="2"/>
        <v>600</v>
      </c>
      <c r="J8" s="159">
        <f>IF($C8&gt;0,IF(OR('Caratteristiche componente'!$C8="intercapedine",'Caratteristiche componente'!$C8="aria",'Caratteristiche componente'!$C8="intercapedine d'aria"),0.01,$C8/100*$E8),0)</f>
        <v>20.7</v>
      </c>
      <c r="K8" s="160">
        <f t="shared" si="3"/>
        <v>0.2586206897</v>
      </c>
      <c r="L8" s="160">
        <f t="shared" si="4"/>
        <v>3.866666667</v>
      </c>
      <c r="M8" s="161">
        <f t="shared" si="5"/>
        <v>528000</v>
      </c>
      <c r="N8" s="18"/>
      <c r="O8" s="162">
        <f>$M8*($K$22+$K$16+$K$15+$K$14+$K$13+$K$12+$K$11+$K$10+$K$9+$K8/2)</f>
        <v>89395.86207</v>
      </c>
      <c r="P8" s="161">
        <f>$M8*($K$21+$K$7+$K8/2)</f>
        <v>163315.8621</v>
      </c>
      <c r="Q8" s="18"/>
      <c r="R8" s="163">
        <f t="shared" si="6"/>
        <v>0.1346339525</v>
      </c>
      <c r="S8" s="164">
        <f t="shared" si="7"/>
        <v>2.228264078</v>
      </c>
      <c r="T8" s="164">
        <f t="shared" si="8"/>
        <v>-2.869625773</v>
      </c>
      <c r="U8" s="164">
        <f t="shared" si="9"/>
        <v>3.631604202</v>
      </c>
      <c r="V8" s="164">
        <f t="shared" si="10"/>
        <v>-2.803799427</v>
      </c>
      <c r="W8" s="165">
        <f t="shared" si="11"/>
        <v>3.716865377</v>
      </c>
      <c r="X8" s="163">
        <f t="shared" si="12"/>
        <v>-2.869625773</v>
      </c>
      <c r="Y8" s="164">
        <f t="shared" si="13"/>
        <v>3.631604202</v>
      </c>
      <c r="Z8" s="164">
        <f t="shared" si="14"/>
        <v>4.62853121</v>
      </c>
      <c r="AA8" s="166">
        <f t="shared" si="15"/>
        <v>128.3151314</v>
      </c>
      <c r="AB8" s="167">
        <f t="shared" si="16"/>
        <v>8.554342094</v>
      </c>
      <c r="AC8" s="163">
        <f t="shared" si="17"/>
        <v>-0.05298693004</v>
      </c>
      <c r="AD8" s="164">
        <f t="shared" si="18"/>
        <v>-0.3784064118</v>
      </c>
      <c r="AE8" s="164">
        <f t="shared" si="19"/>
        <v>0.3820981906</v>
      </c>
      <c r="AF8" s="166">
        <f t="shared" si="20"/>
        <v>-97.97110023</v>
      </c>
      <c r="AG8" s="167">
        <f t="shared" si="21"/>
        <v>-6.531406682</v>
      </c>
      <c r="AH8" s="163">
        <f t="shared" si="22"/>
        <v>56.18175085</v>
      </c>
      <c r="AI8" s="164">
        <f t="shared" si="23"/>
        <v>-7.866934622</v>
      </c>
      <c r="AJ8" s="164">
        <f t="shared" si="24"/>
        <v>56.72986682</v>
      </c>
      <c r="AK8" s="166">
        <f t="shared" si="25"/>
        <v>-7.971100226</v>
      </c>
      <c r="AL8" s="167">
        <f t="shared" si="26"/>
        <v>-0.5314066817</v>
      </c>
      <c r="AM8" s="168">
        <f t="shared" si="27"/>
        <v>-2.869625773</v>
      </c>
      <c r="AN8" s="164">
        <f t="shared" si="28"/>
        <v>3.631604202</v>
      </c>
      <c r="AO8" s="164">
        <f t="shared" si="29"/>
        <v>4.62853121</v>
      </c>
      <c r="AP8" s="166">
        <f t="shared" si="30"/>
        <v>128.3151314</v>
      </c>
      <c r="AQ8" s="167">
        <f t="shared" si="31"/>
        <v>8.554342094</v>
      </c>
      <c r="AR8" s="18"/>
      <c r="AS8" s="18"/>
      <c r="AT8" s="18"/>
      <c r="AU8" s="18"/>
      <c r="AV8" s="18"/>
      <c r="AW8" s="18"/>
      <c r="AX8" s="18"/>
      <c r="AY8" s="18"/>
      <c r="AZ8" s="18"/>
      <c r="BA8" s="18"/>
      <c r="BB8" s="18"/>
      <c r="BC8" s="18"/>
      <c r="BD8" s="18"/>
      <c r="BE8" s="18"/>
      <c r="BF8" s="18"/>
      <c r="BG8" s="18"/>
      <c r="BH8" s="18"/>
    </row>
    <row r="9" ht="12.75" customHeight="1">
      <c r="A9" s="71" t="str">
        <f>ROMAN(3)</f>
        <v>III</v>
      </c>
      <c r="B9" s="169" t="str">
        <f>IF('Caratteristiche componente'!C9&lt;&gt;"",'Caratteristiche componente'!C9,"")</f>
        <v/>
      </c>
      <c r="C9" s="156" t="str">
        <f>'Caratteristiche componente'!D9</f>
        <v/>
      </c>
      <c r="D9" s="74" t="str">
        <f>IF('Caratteristiche componente'!E9&lt;&gt;"",'Caratteristiche componente'!E9,"")</f>
        <v/>
      </c>
      <c r="E9" s="74" t="str">
        <f>IF('Caratteristiche componente'!F9&lt;&gt;"",'Caratteristiche componente'!F9,"")</f>
        <v/>
      </c>
      <c r="F9" s="76" t="str">
        <f>IF('Caratteristiche componente'!G9&lt;&gt;"",'Caratteristiche componente'!G9,"")</f>
        <v/>
      </c>
      <c r="G9" s="77" t="str">
        <f>IF('Caratteristiche componente'!H9&lt;&gt;"",'Caratteristiche componente'!H9,IF('Caratteristiche componente'!I9&lt;&gt;"",C9/100/'Caratteristiche componente'!I9,""))</f>
        <v/>
      </c>
      <c r="H9" s="157" t="str">
        <f t="shared" si="1"/>
        <v/>
      </c>
      <c r="I9" s="158">
        <f t="shared" si="2"/>
        <v>0</v>
      </c>
      <c r="J9" s="159">
        <f>IF($C9&gt;0,IF(OR('Caratteristiche componente'!$C9="intercapedine",'Caratteristiche componente'!$C9="aria",'Caratteristiche componente'!$C9="intercapedine d'aria"),0.01,$C9/100*$E9),0)</f>
        <v>0</v>
      </c>
      <c r="K9" s="160">
        <f t="shared" si="3"/>
        <v>0</v>
      </c>
      <c r="L9" s="160" t="str">
        <f t="shared" si="4"/>
        <v/>
      </c>
      <c r="M9" s="161">
        <f t="shared" si="5"/>
        <v>0</v>
      </c>
      <c r="N9" s="18"/>
      <c r="O9" s="162">
        <f>$M9*($K$22+$K$16+$K$15+$K$14+$K$13+$K$12+$K$11+$K$10+$K9/2)</f>
        <v>0</v>
      </c>
      <c r="P9" s="161">
        <f>$M9*($K$21+$K$7+$K$8+$K9/2)</f>
        <v>0</v>
      </c>
      <c r="Q9" s="18"/>
      <c r="R9" s="163">
        <f t="shared" si="6"/>
        <v>0</v>
      </c>
      <c r="S9" s="164">
        <f t="shared" si="7"/>
        <v>0</v>
      </c>
      <c r="T9" s="164">
        <f t="shared" si="8"/>
        <v>1</v>
      </c>
      <c r="U9" s="164">
        <f t="shared" si="9"/>
        <v>0</v>
      </c>
      <c r="V9" s="164">
        <f t="shared" si="10"/>
        <v>0</v>
      </c>
      <c r="W9" s="165">
        <f t="shared" si="11"/>
        <v>0</v>
      </c>
      <c r="X9" s="163">
        <f t="shared" si="12"/>
        <v>1</v>
      </c>
      <c r="Y9" s="164">
        <f t="shared" si="13"/>
        <v>0</v>
      </c>
      <c r="Z9" s="164">
        <f t="shared" si="14"/>
        <v>1</v>
      </c>
      <c r="AA9" s="166">
        <f t="shared" si="15"/>
        <v>0</v>
      </c>
      <c r="AB9" s="167">
        <f t="shared" si="16"/>
        <v>0</v>
      </c>
      <c r="AC9" s="163">
        <f t="shared" si="17"/>
        <v>0</v>
      </c>
      <c r="AD9" s="164">
        <f t="shared" si="18"/>
        <v>0</v>
      </c>
      <c r="AE9" s="164">
        <f t="shared" si="19"/>
        <v>0</v>
      </c>
      <c r="AF9" s="166">
        <f t="shared" si="20"/>
        <v>0</v>
      </c>
      <c r="AG9" s="167">
        <f t="shared" si="21"/>
        <v>0</v>
      </c>
      <c r="AH9" s="163">
        <f t="shared" si="22"/>
        <v>0</v>
      </c>
      <c r="AI9" s="164">
        <f t="shared" si="23"/>
        <v>0</v>
      </c>
      <c r="AJ9" s="164">
        <f t="shared" si="24"/>
        <v>0</v>
      </c>
      <c r="AK9" s="166">
        <f t="shared" si="25"/>
        <v>0</v>
      </c>
      <c r="AL9" s="167">
        <f t="shared" si="26"/>
        <v>0</v>
      </c>
      <c r="AM9" s="168">
        <f t="shared" si="27"/>
        <v>1</v>
      </c>
      <c r="AN9" s="164">
        <f t="shared" si="28"/>
        <v>0</v>
      </c>
      <c r="AO9" s="164">
        <f t="shared" si="29"/>
        <v>1</v>
      </c>
      <c r="AP9" s="166">
        <f t="shared" si="30"/>
        <v>0</v>
      </c>
      <c r="AQ9" s="167">
        <f t="shared" si="31"/>
        <v>0</v>
      </c>
      <c r="AR9" s="18"/>
      <c r="AS9" s="18"/>
      <c r="AT9" s="18"/>
      <c r="AU9" s="18"/>
      <c r="AV9" s="18"/>
      <c r="AW9" s="18"/>
      <c r="AX9" s="18"/>
      <c r="AY9" s="18"/>
      <c r="AZ9" s="18"/>
      <c r="BA9" s="18"/>
      <c r="BB9" s="18"/>
      <c r="BC9" s="18"/>
      <c r="BD9" s="18"/>
      <c r="BE9" s="18"/>
      <c r="BF9" s="18"/>
      <c r="BG9" s="18"/>
      <c r="BH9" s="18"/>
    </row>
    <row r="10" ht="12.75" customHeight="1">
      <c r="A10" s="71" t="str">
        <f>ROMAN(4)</f>
        <v>IV</v>
      </c>
      <c r="B10" s="169" t="str">
        <f>IF('Caratteristiche componente'!C10&lt;&gt;"",'Caratteristiche componente'!C10,"")</f>
        <v/>
      </c>
      <c r="C10" s="156"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77" t="str">
        <f>IF('Caratteristiche componente'!H10&lt;&gt;"",'Caratteristiche componente'!H10,IF('Caratteristiche componente'!I10&lt;&gt;"",C10/100/'Caratteristiche componente'!I10,""))</f>
        <v/>
      </c>
      <c r="H10" s="157" t="str">
        <f t="shared" si="1"/>
        <v/>
      </c>
      <c r="I10" s="158">
        <f t="shared" si="2"/>
        <v>0</v>
      </c>
      <c r="J10" s="159">
        <f>IF($C10&gt;0,IF(OR('Caratteristiche componente'!$C10="intercapedine",'Caratteristiche componente'!$C10="aria",'Caratteristiche componente'!$C10="intercapedine d'aria"),0.01,$C10/100*$E10),0)</f>
        <v>0</v>
      </c>
      <c r="K10" s="160">
        <f t="shared" si="3"/>
        <v>0</v>
      </c>
      <c r="L10" s="160" t="str">
        <f t="shared" si="4"/>
        <v/>
      </c>
      <c r="M10" s="161">
        <f t="shared" si="5"/>
        <v>0</v>
      </c>
      <c r="N10" s="18"/>
      <c r="O10" s="162">
        <f>$M10*($K$22+$K$16+$K$15+$K$14+$K$13+$K$12+$K$11+$K10/2)</f>
        <v>0</v>
      </c>
      <c r="P10" s="161">
        <f>$M10*($K$21+$K$7+$K$8+$K$9+$K10/2)</f>
        <v>0</v>
      </c>
      <c r="Q10" s="18"/>
      <c r="R10" s="163">
        <f t="shared" si="6"/>
        <v>0</v>
      </c>
      <c r="S10" s="164">
        <f t="shared" si="7"/>
        <v>0</v>
      </c>
      <c r="T10" s="164">
        <f t="shared" si="8"/>
        <v>1</v>
      </c>
      <c r="U10" s="164">
        <f t="shared" si="9"/>
        <v>0</v>
      </c>
      <c r="V10" s="164">
        <f t="shared" si="10"/>
        <v>0</v>
      </c>
      <c r="W10" s="165">
        <f t="shared" si="11"/>
        <v>0</v>
      </c>
      <c r="X10" s="163">
        <f t="shared" si="12"/>
        <v>1</v>
      </c>
      <c r="Y10" s="164">
        <f t="shared" si="13"/>
        <v>0</v>
      </c>
      <c r="Z10" s="164">
        <f t="shared" si="14"/>
        <v>1</v>
      </c>
      <c r="AA10" s="166">
        <f t="shared" si="15"/>
        <v>0</v>
      </c>
      <c r="AB10" s="167">
        <f t="shared" si="16"/>
        <v>0</v>
      </c>
      <c r="AC10" s="163">
        <f t="shared" si="17"/>
        <v>0</v>
      </c>
      <c r="AD10" s="164">
        <f t="shared" si="18"/>
        <v>0</v>
      </c>
      <c r="AE10" s="164">
        <f t="shared" si="19"/>
        <v>0</v>
      </c>
      <c r="AF10" s="166">
        <f t="shared" si="20"/>
        <v>0</v>
      </c>
      <c r="AG10" s="167">
        <f t="shared" si="21"/>
        <v>0</v>
      </c>
      <c r="AH10" s="163">
        <f t="shared" si="22"/>
        <v>0</v>
      </c>
      <c r="AI10" s="164">
        <f t="shared" si="23"/>
        <v>0</v>
      </c>
      <c r="AJ10" s="164">
        <f t="shared" si="24"/>
        <v>0</v>
      </c>
      <c r="AK10" s="166">
        <f t="shared" si="25"/>
        <v>0</v>
      </c>
      <c r="AL10" s="167">
        <f t="shared" si="26"/>
        <v>0</v>
      </c>
      <c r="AM10" s="168">
        <f t="shared" si="27"/>
        <v>1</v>
      </c>
      <c r="AN10" s="164">
        <f t="shared" si="28"/>
        <v>0</v>
      </c>
      <c r="AO10" s="164">
        <f t="shared" si="29"/>
        <v>1</v>
      </c>
      <c r="AP10" s="166">
        <f t="shared" si="30"/>
        <v>0</v>
      </c>
      <c r="AQ10" s="167">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109</v>
      </c>
      <c r="B17" s="188"/>
      <c r="C17" s="189">
        <f>SUM(C$7:C$16)</f>
        <v>31</v>
      </c>
      <c r="D17" s="188"/>
      <c r="E17" s="190"/>
      <c r="F17" s="190"/>
      <c r="G17" s="190"/>
      <c r="H17" s="191"/>
      <c r="I17" s="192">
        <f t="shared" ref="I17:K17" si="32">SUM(I$7:I$16)</f>
        <v>623</v>
      </c>
      <c r="J17" s="193">
        <f t="shared" si="32"/>
        <v>22.83</v>
      </c>
      <c r="K17" s="193">
        <f t="shared" si="32"/>
        <v>0.2686206897</v>
      </c>
      <c r="L17" s="194">
        <f t="shared" si="4"/>
        <v>3.722721438</v>
      </c>
      <c r="M17" s="195">
        <f>SUM(M$7:M$16)</f>
        <v>547320</v>
      </c>
      <c r="N17" s="18"/>
      <c r="O17" s="196">
        <f t="shared" ref="O17:P17" si="33">SUM(O$7:O$16)</f>
        <v>95261.81379</v>
      </c>
      <c r="P17" s="197">
        <f t="shared" si="33"/>
        <v>166696.8621</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110</v>
      </c>
      <c r="Y18" s="119"/>
      <c r="Z18" s="119"/>
      <c r="AA18" s="119"/>
      <c r="AB18" s="120"/>
      <c r="AC18" s="24" t="s">
        <v>111</v>
      </c>
      <c r="AD18" s="119"/>
      <c r="AE18" s="119"/>
      <c r="AF18" s="119"/>
      <c r="AG18" s="120"/>
      <c r="AH18" s="24" t="s">
        <v>112</v>
      </c>
      <c r="AI18" s="119"/>
      <c r="AJ18" s="119"/>
      <c r="AK18" s="119"/>
      <c r="AL18" s="120"/>
      <c r="AM18" s="123" t="s">
        <v>113</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114</v>
      </c>
      <c r="L19" s="200" t="s">
        <v>115</v>
      </c>
      <c r="M19" s="18"/>
      <c r="N19" s="18"/>
      <c r="O19" s="18"/>
      <c r="P19" s="18"/>
      <c r="Q19" s="18"/>
      <c r="R19" s="18"/>
      <c r="S19" s="18"/>
      <c r="T19" s="18"/>
      <c r="U19" s="18"/>
      <c r="V19" s="18"/>
      <c r="W19" s="18"/>
      <c r="X19" s="71" t="s">
        <v>89</v>
      </c>
      <c r="Y19" s="33" t="s">
        <v>90</v>
      </c>
      <c r="Z19" s="33" t="s">
        <v>91</v>
      </c>
      <c r="AA19" s="33" t="s">
        <v>92</v>
      </c>
      <c r="AB19" s="130" t="s">
        <v>92</v>
      </c>
      <c r="AC19" s="71" t="s">
        <v>89</v>
      </c>
      <c r="AD19" s="33" t="s">
        <v>90</v>
      </c>
      <c r="AE19" s="33" t="s">
        <v>91</v>
      </c>
      <c r="AF19" s="33" t="s">
        <v>92</v>
      </c>
      <c r="AG19" s="130" t="s">
        <v>92</v>
      </c>
      <c r="AH19" s="71" t="s">
        <v>89</v>
      </c>
      <c r="AI19" s="33" t="s">
        <v>90</v>
      </c>
      <c r="AJ19" s="33" t="s">
        <v>91</v>
      </c>
      <c r="AK19" s="33" t="s">
        <v>92</v>
      </c>
      <c r="AL19" s="130" t="s">
        <v>92</v>
      </c>
      <c r="AM19" s="131" t="s">
        <v>89</v>
      </c>
      <c r="AN19" s="33" t="s">
        <v>90</v>
      </c>
      <c r="AO19" s="33" t="s">
        <v>91</v>
      </c>
      <c r="AP19" s="33" t="s">
        <v>92</v>
      </c>
      <c r="AQ19" s="130" t="s">
        <v>92</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116</v>
      </c>
      <c r="L20" s="137" t="s">
        <v>117</v>
      </c>
      <c r="M20" s="18"/>
      <c r="N20" s="18"/>
      <c r="O20" s="18"/>
      <c r="P20" s="18"/>
      <c r="Q20" s="18"/>
      <c r="R20" s="18"/>
      <c r="S20" s="18"/>
      <c r="T20" s="18"/>
      <c r="U20" s="18"/>
      <c r="V20" s="18"/>
      <c r="W20" s="18"/>
      <c r="X20" s="37" t="s">
        <v>25</v>
      </c>
      <c r="Y20" s="136" t="s">
        <v>25</v>
      </c>
      <c r="Z20" s="136" t="s">
        <v>25</v>
      </c>
      <c r="AA20" s="136" t="s">
        <v>101</v>
      </c>
      <c r="AB20" s="137" t="s">
        <v>102</v>
      </c>
      <c r="AC20" s="37" t="s">
        <v>118</v>
      </c>
      <c r="AD20" s="136" t="s">
        <v>119</v>
      </c>
      <c r="AE20" s="136" t="s">
        <v>120</v>
      </c>
      <c r="AF20" s="136" t="s">
        <v>101</v>
      </c>
      <c r="AG20" s="137" t="s">
        <v>102</v>
      </c>
      <c r="AH20" s="37" t="s">
        <v>121</v>
      </c>
      <c r="AI20" s="136" t="s">
        <v>122</v>
      </c>
      <c r="AJ20" s="136" t="s">
        <v>123</v>
      </c>
      <c r="AK20" s="136" t="s">
        <v>101</v>
      </c>
      <c r="AL20" s="137" t="s">
        <v>102</v>
      </c>
      <c r="AM20" s="138" t="s">
        <v>25</v>
      </c>
      <c r="AN20" s="136" t="s">
        <v>25</v>
      </c>
      <c r="AO20" s="136" t="s">
        <v>25</v>
      </c>
      <c r="AP20" s="39" t="s">
        <v>101</v>
      </c>
      <c r="AQ20" s="137" t="s">
        <v>102</v>
      </c>
      <c r="AR20" s="18"/>
      <c r="AS20" s="18"/>
      <c r="AT20" s="18"/>
      <c r="AU20" s="18"/>
      <c r="AV20" s="18"/>
      <c r="AW20" s="18"/>
      <c r="AX20" s="18"/>
      <c r="AY20" s="18"/>
      <c r="AZ20" s="18"/>
      <c r="BA20" s="18"/>
      <c r="BB20" s="18"/>
      <c r="BC20" s="18"/>
      <c r="BD20" s="18"/>
      <c r="BE20" s="18"/>
      <c r="BF20" s="18"/>
      <c r="BG20" s="18"/>
      <c r="BH20" s="18"/>
    </row>
    <row r="21" ht="12.75" customHeight="1">
      <c r="A21" s="202" t="s">
        <v>34</v>
      </c>
      <c r="B21" s="203"/>
      <c r="C21" s="204"/>
      <c r="D21" s="205"/>
      <c r="E21" s="205"/>
      <c r="F21" s="205"/>
      <c r="G21" s="205"/>
      <c r="H21" s="205"/>
      <c r="I21" s="205"/>
      <c r="J21" s="206"/>
      <c r="K21" s="207">
        <f>'Caratteristiche componente'!$I$6</f>
        <v>0.17</v>
      </c>
      <c r="L21" s="154">
        <f t="shared" ref="L21:L22" si="34">1/K21</f>
        <v>5.882352941</v>
      </c>
      <c r="M21" s="18"/>
      <c r="N21" s="18"/>
      <c r="O21" s="18"/>
      <c r="P21" s="18"/>
      <c r="Q21" s="18"/>
      <c r="R21" s="18"/>
      <c r="S21" s="18"/>
      <c r="T21" s="18"/>
      <c r="U21" s="18"/>
      <c r="V21" s="202" t="s">
        <v>34</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-0.17</v>
      </c>
      <c r="AD21" s="151">
        <v>0.0</v>
      </c>
      <c r="AE21" s="151">
        <f t="shared" ref="AE21:AE22" si="39">SQRT(AC21^2+AD21^2)</f>
        <v>0.17</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61</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61</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124</v>
      </c>
      <c r="M24" s="18"/>
      <c r="N24" s="121" t="s">
        <v>125</v>
      </c>
      <c r="O24" s="122" t="s">
        <v>126</v>
      </c>
      <c r="P24" s="133" t="s">
        <v>127</v>
      </c>
      <c r="Q24" s="18"/>
      <c r="R24" s="31" t="s">
        <v>128</v>
      </c>
      <c r="S24" s="214" t="s">
        <v>129</v>
      </c>
      <c r="T24" s="18"/>
      <c r="U24" s="18"/>
      <c r="V24" s="18"/>
      <c r="W24" s="18"/>
      <c r="X24" s="24" t="s">
        <v>130</v>
      </c>
      <c r="Y24" s="119"/>
      <c r="Z24" s="119"/>
      <c r="AA24" s="119"/>
      <c r="AB24" s="25"/>
      <c r="AC24" s="24" t="s">
        <v>131</v>
      </c>
      <c r="AD24" s="119"/>
      <c r="AE24" s="119"/>
      <c r="AF24" s="119"/>
      <c r="AG24" s="120"/>
      <c r="AH24" s="24" t="s">
        <v>132</v>
      </c>
      <c r="AI24" s="119"/>
      <c r="AJ24" s="119"/>
      <c r="AK24" s="119"/>
      <c r="AL24" s="120"/>
      <c r="AM24" s="123" t="s">
        <v>133</v>
      </c>
      <c r="AN24" s="119"/>
      <c r="AO24" s="119"/>
      <c r="AP24" s="119"/>
      <c r="AQ24" s="120"/>
      <c r="AR24" s="24" t="s">
        <v>134</v>
      </c>
      <c r="AS24" s="119"/>
      <c r="AT24" s="119"/>
      <c r="AU24" s="119"/>
      <c r="AV24" s="120"/>
      <c r="AW24" s="24" t="s">
        <v>135</v>
      </c>
      <c r="AX24" s="119"/>
      <c r="AY24" s="119"/>
      <c r="AZ24" s="119"/>
      <c r="BA24" s="120"/>
      <c r="BB24" s="24" t="s">
        <v>136</v>
      </c>
      <c r="BC24" s="119"/>
      <c r="BD24" s="119"/>
      <c r="BE24" s="119"/>
      <c r="BF24" s="120"/>
      <c r="BG24" s="18"/>
      <c r="BH24" s="18"/>
    </row>
    <row r="25" ht="15.75" customHeight="1">
      <c r="A25" s="18"/>
      <c r="B25" s="18"/>
      <c r="C25" s="18"/>
      <c r="D25" s="18"/>
      <c r="E25" s="18"/>
      <c r="F25" s="18"/>
      <c r="G25" s="18"/>
      <c r="H25" s="18"/>
      <c r="I25" s="18"/>
      <c r="J25" s="18"/>
      <c r="K25" s="37" t="s">
        <v>137</v>
      </c>
      <c r="L25" s="137" t="s">
        <v>138</v>
      </c>
      <c r="M25" s="18"/>
      <c r="N25" s="37" t="s">
        <v>102</v>
      </c>
      <c r="O25" s="136" t="s">
        <v>102</v>
      </c>
      <c r="P25" s="137" t="s">
        <v>102</v>
      </c>
      <c r="Q25" s="18"/>
      <c r="R25" s="126" t="s">
        <v>102</v>
      </c>
      <c r="S25" s="126" t="s">
        <v>139</v>
      </c>
      <c r="T25" s="18"/>
      <c r="U25" s="18"/>
      <c r="V25" s="18"/>
      <c r="W25" s="18"/>
      <c r="X25" s="71" t="s">
        <v>89</v>
      </c>
      <c r="Y25" s="33" t="s">
        <v>90</v>
      </c>
      <c r="Z25" s="33" t="s">
        <v>91</v>
      </c>
      <c r="AA25" s="33" t="s">
        <v>92</v>
      </c>
      <c r="AB25" s="129" t="s">
        <v>92</v>
      </c>
      <c r="AC25" s="71" t="s">
        <v>89</v>
      </c>
      <c r="AD25" s="33" t="s">
        <v>90</v>
      </c>
      <c r="AE25" s="33" t="s">
        <v>91</v>
      </c>
      <c r="AF25" s="33" t="s">
        <v>92</v>
      </c>
      <c r="AG25" s="130" t="s">
        <v>92</v>
      </c>
      <c r="AH25" s="71" t="s">
        <v>89</v>
      </c>
      <c r="AI25" s="33" t="s">
        <v>90</v>
      </c>
      <c r="AJ25" s="33" t="s">
        <v>91</v>
      </c>
      <c r="AK25" s="33" t="s">
        <v>92</v>
      </c>
      <c r="AL25" s="130" t="s">
        <v>92</v>
      </c>
      <c r="AM25" s="131" t="s">
        <v>89</v>
      </c>
      <c r="AN25" s="33" t="s">
        <v>90</v>
      </c>
      <c r="AO25" s="33" t="s">
        <v>91</v>
      </c>
      <c r="AP25" s="33" t="s">
        <v>92</v>
      </c>
      <c r="AQ25" s="130" t="s">
        <v>92</v>
      </c>
      <c r="AR25" s="71" t="s">
        <v>89</v>
      </c>
      <c r="AS25" s="33" t="s">
        <v>90</v>
      </c>
      <c r="AT25" s="33" t="s">
        <v>91</v>
      </c>
      <c r="AU25" s="33" t="s">
        <v>92</v>
      </c>
      <c r="AV25" s="130" t="s">
        <v>92</v>
      </c>
      <c r="AW25" s="71" t="s">
        <v>89</v>
      </c>
      <c r="AX25" s="33" t="s">
        <v>90</v>
      </c>
      <c r="AY25" s="33" t="s">
        <v>91</v>
      </c>
      <c r="AZ25" s="33" t="s">
        <v>92</v>
      </c>
      <c r="BA25" s="130" t="s">
        <v>92</v>
      </c>
      <c r="BB25" s="71" t="s">
        <v>89</v>
      </c>
      <c r="BC25" s="33" t="s">
        <v>90</v>
      </c>
      <c r="BD25" s="33" t="s">
        <v>91</v>
      </c>
      <c r="BE25" s="33" t="s">
        <v>92</v>
      </c>
      <c r="BF25" s="130" t="s">
        <v>92</v>
      </c>
      <c r="BG25" s="18"/>
      <c r="BH25" s="18"/>
    </row>
    <row r="26" ht="15.75" customHeight="1">
      <c r="A26" s="18"/>
      <c r="B26" s="18"/>
      <c r="C26" s="18"/>
      <c r="D26" s="18"/>
      <c r="E26" s="18"/>
      <c r="F26" s="18"/>
      <c r="G26" s="18"/>
      <c r="H26" s="18"/>
      <c r="I26" s="18"/>
      <c r="J26" s="18"/>
      <c r="K26" s="215">
        <f>$K$17+$K$21+$K$22</f>
        <v>0.4786206897</v>
      </c>
      <c r="L26" s="216">
        <f>1/$K$26</f>
        <v>2.089337176</v>
      </c>
      <c r="M26" s="18"/>
      <c r="N26" s="217">
        <f>M17*K26/3600</f>
        <v>72.76629885</v>
      </c>
      <c r="O26" s="218">
        <f>$O$17/3600</f>
        <v>26.46161494</v>
      </c>
      <c r="P26" s="219">
        <f>$P$17/3600</f>
        <v>46.30468391</v>
      </c>
      <c r="Q26" s="18"/>
      <c r="R26" s="220">
        <v>24.0</v>
      </c>
      <c r="S26" s="221">
        <f>(2*PI())/(R26*3600)</f>
        <v>0.00007272205217</v>
      </c>
      <c r="T26" s="18"/>
      <c r="U26" s="18"/>
      <c r="V26" s="222"/>
      <c r="W26" s="222"/>
      <c r="X26" s="37" t="s">
        <v>25</v>
      </c>
      <c r="Y26" s="136" t="s">
        <v>25</v>
      </c>
      <c r="Z26" s="136" t="s">
        <v>25</v>
      </c>
      <c r="AA26" s="39" t="s">
        <v>101</v>
      </c>
      <c r="AB26" s="39" t="s">
        <v>102</v>
      </c>
      <c r="AC26" s="37" t="s">
        <v>140</v>
      </c>
      <c r="AD26" s="136" t="s">
        <v>141</v>
      </c>
      <c r="AE26" s="136" t="s">
        <v>142</v>
      </c>
      <c r="AF26" s="39" t="s">
        <v>101</v>
      </c>
      <c r="AG26" s="137" t="s">
        <v>102</v>
      </c>
      <c r="AH26" s="37" t="s">
        <v>143</v>
      </c>
      <c r="AI26" s="136" t="s">
        <v>144</v>
      </c>
      <c r="AJ26" s="136" t="s">
        <v>145</v>
      </c>
      <c r="AK26" s="39" t="s">
        <v>101</v>
      </c>
      <c r="AL26" s="137" t="s">
        <v>102</v>
      </c>
      <c r="AM26" s="138" t="s">
        <v>25</v>
      </c>
      <c r="AN26" s="136" t="s">
        <v>25</v>
      </c>
      <c r="AO26" s="136" t="s">
        <v>25</v>
      </c>
      <c r="AP26" s="39" t="s">
        <v>101</v>
      </c>
      <c r="AQ26" s="137" t="s">
        <v>102</v>
      </c>
      <c r="AR26" s="37" t="s">
        <v>146</v>
      </c>
      <c r="AS26" s="136" t="s">
        <v>147</v>
      </c>
      <c r="AT26" s="136" t="s">
        <v>148</v>
      </c>
      <c r="AU26" s="39" t="s">
        <v>101</v>
      </c>
      <c r="AV26" s="137" t="s">
        <v>102</v>
      </c>
      <c r="AW26" s="37" t="s">
        <v>149</v>
      </c>
      <c r="AX26" s="136" t="s">
        <v>150</v>
      </c>
      <c r="AY26" s="136" t="s">
        <v>151</v>
      </c>
      <c r="AZ26" s="39" t="s">
        <v>101</v>
      </c>
      <c r="BA26" s="137" t="s">
        <v>102</v>
      </c>
      <c r="BB26" s="37" t="s">
        <v>152</v>
      </c>
      <c r="BC26" s="136" t="s">
        <v>153</v>
      </c>
      <c r="BD26" s="136" t="s">
        <v>154</v>
      </c>
      <c r="BE26" s="39" t="s">
        <v>101</v>
      </c>
      <c r="BF26" s="137" t="s">
        <v>102</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155</v>
      </c>
      <c r="W27" s="224"/>
      <c r="X27" s="181">
        <f>'Calcoli matriciali'!$AP$9</f>
        <v>-3.42694469</v>
      </c>
      <c r="Y27" s="182">
        <f>'Calcoli matriciali'!$AQ$9</f>
        <v>3.684616397</v>
      </c>
      <c r="Z27" s="182">
        <f t="shared" ref="Z27:Z28" si="48">SQRT(X27^2+Y27^2)</f>
        <v>5.03193282</v>
      </c>
      <c r="AA27" s="184">
        <f t="shared" ref="AA27:AA28" si="49">DEGREES(IF(Y27&lt;&gt;0,ATAN2(X27,Y27),0))</f>
        <v>132.9249217</v>
      </c>
      <c r="AB27" s="225">
        <f t="shared" ref="AB27:AB28" si="50">AA27*$R$26/360</f>
        <v>8.861661449</v>
      </c>
      <c r="AC27" s="181">
        <f>'Calcoli matriciali'!$AR$9</f>
        <v>-0.0215469595</v>
      </c>
      <c r="AD27" s="182">
        <f>'Calcoli matriciali'!$AS$9</f>
        <v>-0.4150243154</v>
      </c>
      <c r="AE27" s="182">
        <f t="shared" ref="AE27:AE28" si="51">SQRT(AC27^2+AD27^2)</f>
        <v>0.4155832695</v>
      </c>
      <c r="AF27" s="184">
        <f t="shared" ref="AF27:AF28" si="52">DEGREES(IF(AD27&lt;&gt;0,ATAN2(AC27,AD27),0))</f>
        <v>-92.97197629</v>
      </c>
      <c r="AG27" s="185">
        <f t="shared" ref="AG27:AG28" si="53">AF27*$R$26/360</f>
        <v>-6.198131753</v>
      </c>
      <c r="AH27" s="181">
        <f>'Calcoli matriciali'!$AP$11</f>
        <v>61.32947187</v>
      </c>
      <c r="AI27" s="182">
        <f>'Calcoli matriciali'!$AQ$11</f>
        <v>-3.428459152</v>
      </c>
      <c r="AJ27" s="182">
        <f t="shared" ref="AJ27:AJ28" si="54">SQRT(AH27^2+AI27^2)</f>
        <v>61.42522651</v>
      </c>
      <c r="AK27" s="184">
        <f t="shared" ref="AK27:AK28" si="55">DEGREES(IF(AI27&lt;&gt;0,ATAN2(AH27,AI27),0))</f>
        <v>-3.199636177</v>
      </c>
      <c r="AL27" s="185">
        <f t="shared" ref="AL27:AL28" si="56">AK27*$R$26/360</f>
        <v>-0.2133090785</v>
      </c>
      <c r="AM27" s="186">
        <f>'Calcoli matriciali'!$AR$11</f>
        <v>-3.457114796</v>
      </c>
      <c r="AN27" s="182">
        <f>'Calcoli matriciali'!$AS$11</f>
        <v>3.688769002</v>
      </c>
      <c r="AO27" s="182">
        <f t="shared" ref="AO27:AO28" si="57">SQRT(AM27^2+AN27^2)</f>
        <v>5.055557285</v>
      </c>
      <c r="AP27" s="90">
        <f t="shared" ref="AP27:AP28" si="58">DEGREES(IF(AN27&lt;&gt;0,ATAN2(AM27,AN27),0))</f>
        <v>133.1432441</v>
      </c>
      <c r="AQ27" s="185">
        <f t="shared" ref="AQ27:AQ28" si="59">AP27*$R$26/360</f>
        <v>8.876216275</v>
      </c>
      <c r="AR27" s="181">
        <f t="shared" ref="AR27:AR28" si="60">-($X27*$AC27+$Y27*$AD27)/($AC27^2+$AD27^2)</f>
        <v>8.426667602</v>
      </c>
      <c r="AS27" s="182">
        <f t="shared" ref="AS27:AS28" si="61">-($Y27*$AC27-$X27*$AD27)/($AC27^2+$AD27^2)</f>
        <v>8.694704434</v>
      </c>
      <c r="AT27" s="182">
        <f t="shared" ref="AT27:AT28" si="62">SQRT(AR27^2+AS27^2)</f>
        <v>12.10812174</v>
      </c>
      <c r="AU27" s="184">
        <f t="shared" ref="AU27:AU28" si="63">DEGREES(IF(AS27&lt;&gt;0,ATAN2(AR27,AS27),0))</f>
        <v>45.89689803</v>
      </c>
      <c r="AV27" s="185">
        <f t="shared" ref="AV27:AV28" si="64">AU27*$R$26/360</f>
        <v>3.059793202</v>
      </c>
      <c r="AW27" s="181">
        <f t="shared" ref="AW27:AW28" si="65">-($AM27*$AC27+$AN27*$AD27)/($AC27^2+$AD27^2)</f>
        <v>8.432882421</v>
      </c>
      <c r="AX27" s="182">
        <f t="shared" ref="AX27:AX28" si="66">-($AN27*$AC27-$AM27*$AD27)/($AC27^2+$AD27^2)</f>
        <v>8.767721881</v>
      </c>
      <c r="AY27" s="182">
        <f t="shared" ref="AY27:AY28" si="67">SQRT(AW27^2+AX27^2)</f>
        <v>12.16496827</v>
      </c>
      <c r="AZ27" s="184">
        <f t="shared" ref="AZ27:AZ28" si="68">DEGREES(IF(AX27&lt;&gt;0,ATAN2(AW27,AX27),0))</f>
        <v>46.11522041</v>
      </c>
      <c r="BA27" s="185">
        <f t="shared" ref="BA27:BA28" si="69">AZ27*$R$26/360</f>
        <v>3.074348028</v>
      </c>
      <c r="BB27" s="181">
        <f t="shared" ref="BB27:BB28" si="70">-$AC27/($AC27^2+$AD27^2)</f>
        <v>0.1247584253</v>
      </c>
      <c r="BC27" s="182">
        <f t="shared" ref="BC27:BC28" si="71">$AD27/($AC27^2+$AD27^2)</f>
        <v>-2.403020252</v>
      </c>
      <c r="BD27" s="182">
        <f t="shared" ref="BD27:BD28" si="72">SQRT(BB27^2+BC27^2)</f>
        <v>2.406256636</v>
      </c>
      <c r="BE27" s="184">
        <f t="shared" ref="BE27:BE28" si="73">DEGREES(IF(BC27&lt;&gt;0,ATAN2(BB27,BC27),0))</f>
        <v>-87.02802371</v>
      </c>
      <c r="BF27" s="185">
        <f t="shared" ref="BF27:BF28" si="74">BE27*$R$26/360</f>
        <v>-5.801868247</v>
      </c>
      <c r="BG27" s="18"/>
      <c r="BH27" s="18"/>
    </row>
    <row r="28" ht="15.75" customHeight="1">
      <c r="A28" s="18"/>
      <c r="B28" s="18"/>
      <c r="C28" s="18"/>
      <c r="D28" s="18"/>
      <c r="E28" s="18"/>
      <c r="F28" s="18"/>
      <c r="G28" s="18"/>
      <c r="H28" s="18"/>
      <c r="I28" s="18"/>
      <c r="J28" s="18"/>
      <c r="K28" s="214" t="s">
        <v>156</v>
      </c>
      <c r="L28" s="31" t="s">
        <v>157</v>
      </c>
      <c r="M28" s="18"/>
      <c r="N28" s="121" t="s">
        <v>158</v>
      </c>
      <c r="O28" s="122" t="s">
        <v>159</v>
      </c>
      <c r="P28" s="133" t="s">
        <v>160</v>
      </c>
      <c r="Q28" s="18"/>
      <c r="R28" s="18"/>
      <c r="S28" s="18"/>
      <c r="T28" s="18"/>
      <c r="U28" s="18"/>
      <c r="V28" s="223" t="s">
        <v>161</v>
      </c>
      <c r="W28" s="226"/>
      <c r="X28" s="181">
        <f>'Calcoli matriciali'!$F$14</f>
        <v>-5.880123565</v>
      </c>
      <c r="Y28" s="182">
        <f>'Calcoli matriciali'!$G$14</f>
        <v>3.821754763</v>
      </c>
      <c r="Z28" s="182">
        <f t="shared" si="48"/>
        <v>7.012963896</v>
      </c>
      <c r="AA28" s="184">
        <f t="shared" si="49"/>
        <v>146.9783625</v>
      </c>
      <c r="AB28" s="225">
        <f t="shared" si="50"/>
        <v>9.798557501</v>
      </c>
      <c r="AC28" s="181">
        <f>'Calcoli matriciali'!$H$14</f>
        <v>1.116358638</v>
      </c>
      <c r="AD28" s="182">
        <f>'Calcoli matriciali'!$I$14</f>
        <v>-1.212273385</v>
      </c>
      <c r="AE28" s="182">
        <f t="shared" si="51"/>
        <v>1.647987673</v>
      </c>
      <c r="AF28" s="184">
        <f t="shared" si="52"/>
        <v>-47.35864039</v>
      </c>
      <c r="AG28" s="185">
        <f t="shared" si="53"/>
        <v>-3.157242692</v>
      </c>
      <c r="AH28" s="181">
        <f>'Calcoli matriciali'!$F$16</f>
        <v>61.32947187</v>
      </c>
      <c r="AI28" s="182">
        <f>'Calcoli matriciali'!$G$16</f>
        <v>-3.428459152</v>
      </c>
      <c r="AJ28" s="182">
        <f t="shared" si="54"/>
        <v>61.42522651</v>
      </c>
      <c r="AK28" s="184">
        <f t="shared" si="55"/>
        <v>-3.199636177</v>
      </c>
      <c r="AL28" s="185">
        <f t="shared" si="56"/>
        <v>-0.2133090785</v>
      </c>
      <c r="AM28" s="186">
        <f>'Calcoli matriciali'!$H$16</f>
        <v>-13.88312501</v>
      </c>
      <c r="AN28" s="182">
        <f>'Calcoli matriciali'!$I$16</f>
        <v>4.271607058</v>
      </c>
      <c r="AO28" s="182">
        <f t="shared" si="57"/>
        <v>14.52541865</v>
      </c>
      <c r="AP28" s="90">
        <f t="shared" si="58"/>
        <v>162.8977374</v>
      </c>
      <c r="AQ28" s="185">
        <f t="shared" si="59"/>
        <v>10.85984916</v>
      </c>
      <c r="AR28" s="181">
        <f t="shared" si="60"/>
        <v>4.122938747</v>
      </c>
      <c r="AS28" s="182">
        <f t="shared" si="61"/>
        <v>1.053760063</v>
      </c>
      <c r="AT28" s="227">
        <f t="shared" si="62"/>
        <v>4.255471088</v>
      </c>
      <c r="AU28" s="218">
        <f t="shared" si="63"/>
        <v>14.3370029</v>
      </c>
      <c r="AV28" s="228">
        <f t="shared" si="64"/>
        <v>0.955800193</v>
      </c>
      <c r="AW28" s="181">
        <f t="shared" si="65"/>
        <v>7.613380818</v>
      </c>
      <c r="AX28" s="182">
        <f t="shared" si="66"/>
        <v>4.441128244</v>
      </c>
      <c r="AY28" s="227">
        <f t="shared" si="67"/>
        <v>8.814033558</v>
      </c>
      <c r="AZ28" s="218">
        <f t="shared" si="68"/>
        <v>30.25637783</v>
      </c>
      <c r="BA28" s="228">
        <f t="shared" si="69"/>
        <v>2.017091856</v>
      </c>
      <c r="BB28" s="181">
        <f t="shared" si="70"/>
        <v>-0.4110511046</v>
      </c>
      <c r="BC28" s="182">
        <f t="shared" si="71"/>
        <v>-0.4463675893</v>
      </c>
      <c r="BD28" s="227">
        <f t="shared" si="72"/>
        <v>0.6068006554</v>
      </c>
      <c r="BE28" s="218">
        <f t="shared" si="73"/>
        <v>-132.6413596</v>
      </c>
      <c r="BF28" s="228">
        <f t="shared" si="74"/>
        <v>-8.842757308</v>
      </c>
      <c r="BG28" s="18"/>
      <c r="BH28" s="18"/>
    </row>
    <row r="29" ht="15.75" customHeight="1">
      <c r="A29" s="18"/>
      <c r="B29" s="18"/>
      <c r="C29" s="18"/>
      <c r="D29" s="18"/>
      <c r="E29" s="18"/>
      <c r="F29" s="18"/>
      <c r="G29" s="18"/>
      <c r="H29" s="18"/>
      <c r="I29" s="18"/>
      <c r="J29" s="18"/>
      <c r="K29" s="40" t="s">
        <v>102</v>
      </c>
      <c r="L29" s="40" t="s">
        <v>162</v>
      </c>
      <c r="M29" s="18"/>
      <c r="N29" s="37" t="s">
        <v>163</v>
      </c>
      <c r="O29" s="136" t="s">
        <v>164</v>
      </c>
      <c r="P29" s="137" t="s">
        <v>165</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f>$BF$28</f>
        <v>-8.842757308</v>
      </c>
      <c r="L30" s="230">
        <f>$BD$28</f>
        <v>0.6068006554</v>
      </c>
      <c r="M30" s="231"/>
      <c r="N30" s="217">
        <f>$M$17/1000</f>
        <v>547.32</v>
      </c>
      <c r="O30" s="218">
        <f t="shared" ref="O30:P30" si="75">O$17/$K$26/1000</f>
        <v>199.034049</v>
      </c>
      <c r="P30" s="219">
        <f t="shared" si="75"/>
        <v>348.285951</v>
      </c>
      <c r="Q30" s="18"/>
      <c r="R30" s="18"/>
      <c r="S30" s="18"/>
      <c r="T30" s="18"/>
      <c r="U30" s="18"/>
      <c r="V30" s="18"/>
      <c r="W30" s="18"/>
      <c r="X30" s="24" t="s">
        <v>166</v>
      </c>
      <c r="Y30" s="119"/>
      <c r="Z30" s="119"/>
      <c r="AA30" s="119"/>
      <c r="AB30" s="25"/>
      <c r="AC30" s="24" t="s">
        <v>167</v>
      </c>
      <c r="AD30" s="119"/>
      <c r="AE30" s="119"/>
      <c r="AF30" s="119"/>
      <c r="AG30" s="120"/>
      <c r="AH30" s="24" t="s">
        <v>168</v>
      </c>
      <c r="AI30" s="119"/>
      <c r="AJ30" s="119"/>
      <c r="AK30" s="119"/>
      <c r="AL30" s="120"/>
      <c r="AM30" s="123" t="s">
        <v>169</v>
      </c>
      <c r="AN30" s="119"/>
      <c r="AO30" s="119"/>
      <c r="AP30" s="119"/>
      <c r="AQ30" s="120"/>
      <c r="AR30" s="24" t="s">
        <v>170</v>
      </c>
      <c r="AS30" s="119"/>
      <c r="AT30" s="119"/>
      <c r="AU30" s="119"/>
      <c r="AV30" s="120"/>
      <c r="AW30" s="24" t="s">
        <v>171</v>
      </c>
      <c r="AX30" s="119"/>
      <c r="AY30" s="119"/>
      <c r="AZ30" s="119"/>
      <c r="BA30" s="120"/>
      <c r="BB30" s="24" t="s">
        <v>172</v>
      </c>
      <c r="BC30" s="119"/>
      <c r="BD30" s="119"/>
      <c r="BE30" s="119"/>
      <c r="BF30" s="120"/>
      <c r="BG30" s="18"/>
      <c r="BH30" s="18"/>
    </row>
    <row r="31" ht="15.0" customHeight="1">
      <c r="A31" s="18"/>
      <c r="B31" s="18"/>
      <c r="C31" s="18"/>
      <c r="D31" s="18"/>
      <c r="E31" s="18"/>
      <c r="F31" s="18"/>
      <c r="G31" s="18"/>
      <c r="H31" s="18"/>
      <c r="I31" s="18"/>
      <c r="J31" s="18"/>
      <c r="K31" s="18"/>
      <c r="L31" s="31" t="s">
        <v>173</v>
      </c>
      <c r="M31" s="232"/>
      <c r="N31" s="18"/>
      <c r="O31" s="18"/>
      <c r="P31" s="18"/>
      <c r="Q31" s="18"/>
      <c r="R31" s="18"/>
      <c r="S31" s="18"/>
      <c r="T31" s="18"/>
      <c r="U31" s="18"/>
      <c r="V31" s="18"/>
      <c r="W31" s="18"/>
      <c r="X31" s="71" t="s">
        <v>89</v>
      </c>
      <c r="Y31" s="33" t="s">
        <v>90</v>
      </c>
      <c r="Z31" s="33" t="s">
        <v>91</v>
      </c>
      <c r="AA31" s="33" t="s">
        <v>92</v>
      </c>
      <c r="AB31" s="129" t="s">
        <v>92</v>
      </c>
      <c r="AC31" s="71" t="s">
        <v>89</v>
      </c>
      <c r="AD31" s="33" t="s">
        <v>90</v>
      </c>
      <c r="AE31" s="33" t="s">
        <v>91</v>
      </c>
      <c r="AF31" s="33" t="s">
        <v>92</v>
      </c>
      <c r="AG31" s="130" t="s">
        <v>92</v>
      </c>
      <c r="AH31" s="71" t="s">
        <v>89</v>
      </c>
      <c r="AI31" s="33" t="s">
        <v>90</v>
      </c>
      <c r="AJ31" s="33" t="s">
        <v>91</v>
      </c>
      <c r="AK31" s="33" t="s">
        <v>92</v>
      </c>
      <c r="AL31" s="130" t="s">
        <v>92</v>
      </c>
      <c r="AM31" s="131" t="s">
        <v>89</v>
      </c>
      <c r="AN31" s="33" t="s">
        <v>90</v>
      </c>
      <c r="AO31" s="33" t="s">
        <v>91</v>
      </c>
      <c r="AP31" s="33" t="s">
        <v>92</v>
      </c>
      <c r="AQ31" s="130" t="s">
        <v>92</v>
      </c>
      <c r="AR31" s="71" t="s">
        <v>89</v>
      </c>
      <c r="AS31" s="33" t="s">
        <v>90</v>
      </c>
      <c r="AT31" s="33" t="s">
        <v>91</v>
      </c>
      <c r="AU31" s="129" t="s">
        <v>92</v>
      </c>
      <c r="AV31" s="130" t="s">
        <v>92</v>
      </c>
      <c r="AW31" s="71" t="s">
        <v>89</v>
      </c>
      <c r="AX31" s="33" t="s">
        <v>90</v>
      </c>
      <c r="AY31" s="33" t="s">
        <v>91</v>
      </c>
      <c r="AZ31" s="33" t="s">
        <v>92</v>
      </c>
      <c r="BA31" s="130" t="s">
        <v>92</v>
      </c>
      <c r="BB31" s="71" t="s">
        <v>89</v>
      </c>
      <c r="BC31" s="33" t="s">
        <v>90</v>
      </c>
      <c r="BD31" s="33" t="s">
        <v>91</v>
      </c>
      <c r="BE31" s="33" t="s">
        <v>92</v>
      </c>
      <c r="BF31" s="130" t="s">
        <v>92</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101</v>
      </c>
      <c r="AB32" s="39" t="s">
        <v>102</v>
      </c>
      <c r="AC32" s="37" t="s">
        <v>174</v>
      </c>
      <c r="AD32" s="136" t="s">
        <v>175</v>
      </c>
      <c r="AE32" s="136" t="s">
        <v>176</v>
      </c>
      <c r="AF32" s="39" t="s">
        <v>101</v>
      </c>
      <c r="AG32" s="137" t="s">
        <v>102</v>
      </c>
      <c r="AH32" s="37" t="s">
        <v>177</v>
      </c>
      <c r="AI32" s="136" t="s">
        <v>178</v>
      </c>
      <c r="AJ32" s="136" t="s">
        <v>179</v>
      </c>
      <c r="AK32" s="39" t="s">
        <v>101</v>
      </c>
      <c r="AL32" s="137" t="s">
        <v>102</v>
      </c>
      <c r="AM32" s="138" t="s">
        <v>25</v>
      </c>
      <c r="AN32" s="136" t="s">
        <v>25</v>
      </c>
      <c r="AO32" s="136" t="s">
        <v>25</v>
      </c>
      <c r="AP32" s="39" t="s">
        <v>101</v>
      </c>
      <c r="AQ32" s="137" t="s">
        <v>102</v>
      </c>
      <c r="AR32" s="37" t="s">
        <v>180</v>
      </c>
      <c r="AS32" s="136" t="s">
        <v>181</v>
      </c>
      <c r="AT32" s="136" t="s">
        <v>182</v>
      </c>
      <c r="AU32" s="39" t="s">
        <v>101</v>
      </c>
      <c r="AV32" s="137" t="s">
        <v>102</v>
      </c>
      <c r="AW32" s="37" t="s">
        <v>183</v>
      </c>
      <c r="AX32" s="136" t="s">
        <v>184</v>
      </c>
      <c r="AY32" s="136" t="s">
        <v>185</v>
      </c>
      <c r="AZ32" s="39" t="s">
        <v>101</v>
      </c>
      <c r="BA32" s="137" t="s">
        <v>102</v>
      </c>
      <c r="BB32" s="37" t="s">
        <v>186</v>
      </c>
      <c r="BC32" s="136" t="s">
        <v>187</v>
      </c>
      <c r="BD32" s="136" t="s">
        <v>188</v>
      </c>
      <c r="BE32" s="39" t="s">
        <v>101</v>
      </c>
      <c r="BF32" s="137" t="s">
        <v>102</v>
      </c>
      <c r="BG32" s="18"/>
      <c r="BH32" s="18"/>
    </row>
    <row r="33" ht="13.5" customHeight="1">
      <c r="A33" s="18"/>
      <c r="B33" s="18"/>
      <c r="C33" s="18"/>
      <c r="D33" s="18"/>
      <c r="E33" s="18"/>
      <c r="F33" s="18"/>
      <c r="G33" s="18"/>
      <c r="H33" s="18"/>
      <c r="I33" s="18"/>
      <c r="J33" s="18"/>
      <c r="K33" s="18"/>
      <c r="L33" s="230">
        <f>$K$26*$BD$28</f>
        <v>0.2904273482</v>
      </c>
      <c r="M33" s="233"/>
      <c r="N33" s="18"/>
      <c r="O33" s="18"/>
      <c r="P33" s="18"/>
      <c r="Q33" s="18"/>
      <c r="R33" s="18"/>
      <c r="S33" s="222"/>
      <c r="T33" s="234"/>
      <c r="U33" s="234"/>
      <c r="V33" s="223" t="s">
        <v>155</v>
      </c>
      <c r="W33" s="224"/>
      <c r="X33" s="181">
        <f>'Calcoli matriciali'!$J$20</f>
        <v>-3.457114796</v>
      </c>
      <c r="Y33" s="182">
        <f>'Calcoli matriciali'!$K$20</f>
        <v>3.688769002</v>
      </c>
      <c r="Z33" s="182">
        <f t="shared" ref="Z33:Z34" si="76">SQRT(X33^2+Y33^2)</f>
        <v>5.055557285</v>
      </c>
      <c r="AA33" s="184">
        <f t="shared" ref="AA33:AA34" si="77">DEGREES(IF(Y33&lt;&gt;0,ATAN2(X33,Y33),0))</f>
        <v>133.1432441</v>
      </c>
      <c r="AB33" s="225">
        <f t="shared" ref="AB33:AB34" si="78">AA33*$R$26/360</f>
        <v>8.876216275</v>
      </c>
      <c r="AC33" s="181">
        <f>'Calcoli matriciali'!$L$20</f>
        <v>-0.0215469595</v>
      </c>
      <c r="AD33" s="182">
        <f>'Calcoli matriciali'!$M$20</f>
        <v>-0.4150243154</v>
      </c>
      <c r="AE33" s="182">
        <f t="shared" ref="AE33:AE34" si="79">SQRT(AC33^2+AD33^2)</f>
        <v>0.4155832695</v>
      </c>
      <c r="AF33" s="184">
        <f t="shared" ref="AF33:AF34" si="80">DEGREES(IF(AD33&lt;&gt;0,ATAN2(AC33,AD33),0))</f>
        <v>-92.97197629</v>
      </c>
      <c r="AG33" s="185">
        <f t="shared" ref="AG33:AG34" si="81">AF33*$R$26/360</f>
        <v>-6.198131753</v>
      </c>
      <c r="AH33" s="181">
        <f>'Calcoli matriciali'!$J$22</f>
        <v>61.32947187</v>
      </c>
      <c r="AI33" s="182">
        <f>'Calcoli matriciali'!$K$22</f>
        <v>-3.428459152</v>
      </c>
      <c r="AJ33" s="182">
        <f t="shared" ref="AJ33:AJ34" si="82">SQRT(AH33^2+AI33^2)</f>
        <v>61.42522651</v>
      </c>
      <c r="AK33" s="184">
        <f t="shared" ref="AK33:AK34" si="83">DEGREES(IF(AI33&lt;&gt;0,ATAN2(AH33,AI33),0))</f>
        <v>-3.199636177</v>
      </c>
      <c r="AL33" s="185">
        <f t="shared" ref="AL33:AL34" si="84">AK33*$R$26/360</f>
        <v>-0.2133090785</v>
      </c>
      <c r="AM33" s="186">
        <f>'Calcoli matriciali'!$L$22</f>
        <v>-3.42694469</v>
      </c>
      <c r="AN33" s="182">
        <f>'Calcoli matriciali'!$M$22</f>
        <v>3.684616397</v>
      </c>
      <c r="AO33" s="182">
        <f t="shared" ref="AO33:AO34" si="85">SQRT(AM33^2+AN33^2)</f>
        <v>5.03193282</v>
      </c>
      <c r="AP33" s="90">
        <f t="shared" ref="AP33:AP34" si="86">DEGREES(IF(AN33&lt;&gt;0,ATAN2(AM33,AN33),0))</f>
        <v>132.9249217</v>
      </c>
      <c r="AQ33" s="185">
        <f t="shared" ref="AQ33:AQ34" si="87">AP33*$R$26/360</f>
        <v>8.861661449</v>
      </c>
      <c r="AR33" s="181">
        <f t="shared" ref="AR33:AR34" si="88">-($AM33*$AC33+$AN33*$AD33)/($AC33^2+$AD33^2)</f>
        <v>8.426667602</v>
      </c>
      <c r="AS33" s="182">
        <f t="shared" ref="AS33:AS34" si="89">-($AN33*$AC33-$AM33*$AD33)/($AC33^2+$AD33^2)</f>
        <v>8.694704434</v>
      </c>
      <c r="AT33" s="182">
        <f t="shared" ref="AT33:AT34" si="90">SQRT(AR33^2+AS33^2)</f>
        <v>12.10812174</v>
      </c>
      <c r="AU33" s="90">
        <f t="shared" ref="AU33:AU34" si="91">DEGREES(IF(AS33&lt;&gt;0,ATAN2(AR33,AS33),0))</f>
        <v>45.89689803</v>
      </c>
      <c r="AV33" s="185">
        <f t="shared" ref="AV33:AV34" si="92">AU33*$R$26/360</f>
        <v>3.059793202</v>
      </c>
      <c r="AW33" s="181">
        <f t="shared" ref="AW33:AW34" si="93">-($X33*$AC33+$Y33*$AD33)/($AC33^2+$AD33^2)</f>
        <v>8.432882421</v>
      </c>
      <c r="AX33" s="182">
        <f t="shared" ref="AX33:AX34" si="94">-($Y33*$AC33-$X33*$AD33)/($AC33^2+$AD33^2)</f>
        <v>8.767721881</v>
      </c>
      <c r="AY33" s="182">
        <f t="shared" ref="AY33:AY34" si="95">SQRT(AW33^2+AX33^2)</f>
        <v>12.16496827</v>
      </c>
      <c r="AZ33" s="184">
        <f t="shared" ref="AZ33:AZ34" si="96">DEGREES(IF(AX33&lt;&gt;0,ATAN2(AW33,AX33),0))</f>
        <v>46.11522041</v>
      </c>
      <c r="BA33" s="185">
        <f t="shared" ref="BA33:BA34" si="97">AZ33*$R$26/360</f>
        <v>3.074348028</v>
      </c>
      <c r="BB33" s="181">
        <f t="shared" ref="BB33:BB34" si="98">-$AC33/($AC33^2+$AD33^2)</f>
        <v>0.1247584253</v>
      </c>
      <c r="BC33" s="182">
        <f t="shared" ref="BC33:BC34" si="99">$AD33/($AC33^2+$AD33^2)</f>
        <v>-2.403020252</v>
      </c>
      <c r="BD33" s="182">
        <f t="shared" ref="BD33:BD34" si="100">SQRT(BB33^2+BC33^2)</f>
        <v>2.406256636</v>
      </c>
      <c r="BE33" s="184">
        <f t="shared" ref="BE33:BE34" si="101">DEGREES(IF(BC33&lt;&gt;0,ATAN2(BB33,BC33),0))</f>
        <v>-87.02802371</v>
      </c>
      <c r="BF33" s="185">
        <f t="shared" ref="BF33:BF34" si="102">BE33*$R$26/360</f>
        <v>-5.801868247</v>
      </c>
      <c r="BG33" s="18"/>
      <c r="BH33" s="18"/>
    </row>
    <row r="34" ht="13.5" customHeight="1">
      <c r="A34" s="18"/>
      <c r="B34" s="18"/>
      <c r="C34" s="19" t="s">
        <v>189</v>
      </c>
      <c r="D34" s="19" t="s">
        <v>190</v>
      </c>
      <c r="E34" s="19" t="s">
        <v>191</v>
      </c>
      <c r="F34" s="18"/>
      <c r="G34" s="19"/>
      <c r="H34" s="18"/>
      <c r="I34" s="18"/>
      <c r="J34" s="18"/>
      <c r="K34" s="18"/>
      <c r="L34" s="18"/>
      <c r="M34" s="18"/>
      <c r="N34" s="18"/>
      <c r="O34" s="18"/>
      <c r="P34" s="18"/>
      <c r="Q34" s="18"/>
      <c r="R34" s="18"/>
      <c r="S34" s="18"/>
      <c r="T34" s="18"/>
      <c r="U34" s="18"/>
      <c r="V34" s="223" t="s">
        <v>161</v>
      </c>
      <c r="W34" s="226"/>
      <c r="X34" s="181">
        <f>'Calcoli matriciali'!$AT$25</f>
        <v>-13.88312501</v>
      </c>
      <c r="Y34" s="182">
        <f>'Calcoli matriciali'!$AU$25</f>
        <v>4.271607058</v>
      </c>
      <c r="Z34" s="182">
        <f t="shared" si="76"/>
        <v>14.52541865</v>
      </c>
      <c r="AA34" s="184">
        <f t="shared" si="77"/>
        <v>162.8977374</v>
      </c>
      <c r="AB34" s="225">
        <f t="shared" si="78"/>
        <v>10.85984916</v>
      </c>
      <c r="AC34" s="181">
        <f>'Calcoli matriciali'!$AV$25</f>
        <v>1.116358638</v>
      </c>
      <c r="AD34" s="182">
        <f>'Calcoli matriciali'!$AW$25</f>
        <v>-1.212273385</v>
      </c>
      <c r="AE34" s="182">
        <f t="shared" si="79"/>
        <v>1.647987673</v>
      </c>
      <c r="AF34" s="184">
        <f t="shared" si="80"/>
        <v>-47.35864039</v>
      </c>
      <c r="AG34" s="185">
        <f t="shared" si="81"/>
        <v>-3.157242692</v>
      </c>
      <c r="AH34" s="181">
        <f>'Calcoli matriciali'!$AT$27</f>
        <v>61.32947187</v>
      </c>
      <c r="AI34" s="182">
        <f>'Calcoli matriciali'!$AU$27</f>
        <v>-3.428459152</v>
      </c>
      <c r="AJ34" s="182">
        <f t="shared" si="82"/>
        <v>61.42522651</v>
      </c>
      <c r="AK34" s="184">
        <f t="shared" si="83"/>
        <v>-3.199636177</v>
      </c>
      <c r="AL34" s="185">
        <f t="shared" si="84"/>
        <v>-0.2133090785</v>
      </c>
      <c r="AM34" s="186">
        <f>'Calcoli matriciali'!$AV$27</f>
        <v>-5.880123565</v>
      </c>
      <c r="AN34" s="182">
        <f>'Calcoli matriciali'!$AW$27</f>
        <v>3.821754763</v>
      </c>
      <c r="AO34" s="182">
        <f t="shared" si="85"/>
        <v>7.012963896</v>
      </c>
      <c r="AP34" s="90">
        <f t="shared" si="86"/>
        <v>146.9783625</v>
      </c>
      <c r="AQ34" s="185">
        <f t="shared" si="87"/>
        <v>9.798557501</v>
      </c>
      <c r="AR34" s="181">
        <f t="shared" si="88"/>
        <v>4.122938747</v>
      </c>
      <c r="AS34" s="182">
        <f t="shared" si="89"/>
        <v>1.053760063</v>
      </c>
      <c r="AT34" s="227">
        <f t="shared" si="90"/>
        <v>4.255471088</v>
      </c>
      <c r="AU34" s="235">
        <f t="shared" si="91"/>
        <v>14.3370029</v>
      </c>
      <c r="AV34" s="228">
        <f t="shared" si="92"/>
        <v>0.955800193</v>
      </c>
      <c r="AW34" s="181">
        <f t="shared" si="93"/>
        <v>7.613380818</v>
      </c>
      <c r="AX34" s="182">
        <f t="shared" si="94"/>
        <v>4.441128244</v>
      </c>
      <c r="AY34" s="227">
        <f t="shared" si="95"/>
        <v>8.814033558</v>
      </c>
      <c r="AZ34" s="218">
        <f t="shared" si="96"/>
        <v>30.25637783</v>
      </c>
      <c r="BA34" s="228">
        <f t="shared" si="97"/>
        <v>2.017091856</v>
      </c>
      <c r="BB34" s="181">
        <f t="shared" si="98"/>
        <v>-0.4110511046</v>
      </c>
      <c r="BC34" s="182">
        <f t="shared" si="99"/>
        <v>-0.4463675893</v>
      </c>
      <c r="BD34" s="227">
        <f t="shared" si="100"/>
        <v>0.6068006554</v>
      </c>
      <c r="BE34" s="218">
        <f t="shared" si="101"/>
        <v>-132.6413596</v>
      </c>
      <c r="BF34" s="228">
        <f t="shared" si="102"/>
        <v>-8.842757308</v>
      </c>
      <c r="BG34" s="18"/>
      <c r="BH34" s="18"/>
    </row>
    <row r="35" ht="15.75" customHeight="1">
      <c r="A35" s="18"/>
      <c r="B35" s="18"/>
      <c r="C35" s="214" t="s">
        <v>192</v>
      </c>
      <c r="D35" s="214" t="s">
        <v>193</v>
      </c>
      <c r="E35" s="214" t="s">
        <v>194</v>
      </c>
      <c r="F35" s="18"/>
      <c r="G35" s="18"/>
      <c r="H35" s="18"/>
      <c r="I35" s="18"/>
      <c r="J35" s="18"/>
      <c r="K35" s="214" t="s">
        <v>195</v>
      </c>
      <c r="L35" s="31" t="s">
        <v>196</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197</v>
      </c>
      <c r="D36" s="40" t="s">
        <v>198</v>
      </c>
      <c r="E36" s="40" t="s">
        <v>199</v>
      </c>
      <c r="F36" s="18"/>
      <c r="G36" s="18"/>
      <c r="H36" s="18"/>
      <c r="I36" s="18"/>
      <c r="J36" s="18"/>
      <c r="K36" s="40" t="s">
        <v>102</v>
      </c>
      <c r="L36" s="40" t="s">
        <v>200</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201</v>
      </c>
      <c r="AS36" s="119"/>
      <c r="AT36" s="119"/>
      <c r="AU36" s="119"/>
      <c r="AV36" s="120"/>
      <c r="AW36" s="236" t="s">
        <v>202</v>
      </c>
      <c r="AX36" s="119"/>
      <c r="AY36" s="119"/>
      <c r="AZ36" s="119"/>
      <c r="BA36" s="120"/>
      <c r="BB36" s="18"/>
      <c r="BC36" s="18"/>
      <c r="BD36" s="18"/>
      <c r="BE36" s="18"/>
      <c r="BF36" s="18"/>
      <c r="BG36" s="18"/>
      <c r="BH36" s="18"/>
    </row>
    <row r="37" ht="13.5" customHeight="1">
      <c r="A37" s="18"/>
      <c r="B37" s="18"/>
      <c r="C37" s="237">
        <f>1/ABS($AS$40)/$S$26/1000</f>
        <v>236.3128988</v>
      </c>
      <c r="D37" s="237">
        <f>1/ABS($AS$52)/$S$26/1000</f>
        <v>209.0654805</v>
      </c>
      <c r="E37" s="238">
        <f>$AT$46/$S$26/1000</f>
        <v>65.67078547</v>
      </c>
      <c r="F37" s="18"/>
      <c r="G37" s="18"/>
      <c r="H37" s="18"/>
      <c r="I37" s="18"/>
      <c r="J37" s="18"/>
      <c r="K37" s="229">
        <f>$AV$28</f>
        <v>0.955800193</v>
      </c>
      <c r="L37" s="230">
        <f>$AT$28</f>
        <v>4.255471088</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89</v>
      </c>
      <c r="AS37" s="33" t="s">
        <v>90</v>
      </c>
      <c r="AT37" s="33" t="s">
        <v>91</v>
      </c>
      <c r="AU37" s="33" t="s">
        <v>92</v>
      </c>
      <c r="AV37" s="130" t="s">
        <v>92</v>
      </c>
      <c r="AW37" s="71" t="s">
        <v>89</v>
      </c>
      <c r="AX37" s="33" t="s">
        <v>90</v>
      </c>
      <c r="AY37" s="33" t="s">
        <v>91</v>
      </c>
      <c r="AZ37" s="33" t="s">
        <v>92</v>
      </c>
      <c r="BA37" s="130" t="s">
        <v>92</v>
      </c>
      <c r="BB37" s="18"/>
      <c r="BC37" s="18"/>
      <c r="BD37" s="18"/>
      <c r="BE37" s="18"/>
      <c r="BF37" s="18"/>
      <c r="BG37" s="18"/>
      <c r="BH37" s="18"/>
    </row>
    <row r="38" ht="15.75" customHeight="1">
      <c r="A38" s="18"/>
      <c r="B38" s="18"/>
      <c r="C38" s="18"/>
      <c r="D38" s="18"/>
      <c r="E38" s="18"/>
      <c r="F38" s="18"/>
      <c r="G38" s="18"/>
      <c r="H38" s="18"/>
      <c r="I38" s="18"/>
      <c r="J38" s="18"/>
      <c r="K38" s="18"/>
      <c r="L38" s="31" t="s">
        <v>203</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204</v>
      </c>
      <c r="AS38" s="136" t="s">
        <v>205</v>
      </c>
      <c r="AT38" s="136" t="s">
        <v>206</v>
      </c>
      <c r="AU38" s="39" t="s">
        <v>101</v>
      </c>
      <c r="AV38" s="137" t="s">
        <v>102</v>
      </c>
      <c r="AW38" s="37" t="s">
        <v>207</v>
      </c>
      <c r="AX38" s="136" t="s">
        <v>208</v>
      </c>
      <c r="AY38" s="136" t="s">
        <v>209</v>
      </c>
      <c r="AZ38" s="39" t="s">
        <v>101</v>
      </c>
      <c r="BA38" s="137" t="s">
        <v>102</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210</v>
      </c>
      <c r="AQ39" s="224"/>
      <c r="AR39" s="239">
        <f t="shared" ref="AR39:AR40" si="103">AR27/(AR27^2+AS27^2)</f>
        <v>0.05747808699</v>
      </c>
      <c r="AS39" s="227">
        <f t="shared" ref="AS39:AS40" si="104">-AS27/(AR27^2+AS27^2)</f>
        <v>-0.05930635946</v>
      </c>
      <c r="AT39" s="182">
        <f t="shared" ref="AT39:AT40" si="105">SQRT(AR39^2+AS39^2)</f>
        <v>0.08258919273</v>
      </c>
      <c r="AU39" s="184">
        <f t="shared" ref="AU39:AU40" si="106">DEGREES(IF(AS39&lt;&gt;0,ATAN2(AR39,AS39),0))</f>
        <v>-45.89689803</v>
      </c>
      <c r="AV39" s="185">
        <f t="shared" ref="AV39:AV40" si="107">AU39*$R$26/360</f>
        <v>-3.059793202</v>
      </c>
      <c r="AW39" s="239">
        <f t="shared" ref="AW39:AW40" si="108">AW27/(AW27^2+AX27^2)</f>
        <v>0.05698415129</v>
      </c>
      <c r="AX39" s="227">
        <f t="shared" ref="AX39:AX40" si="109">-AX27/(AW27^2+AX27^2)</f>
        <v>-0.05924678718</v>
      </c>
      <c r="AY39" s="182">
        <f t="shared" ref="AY39:AY40" si="110">SQRT(AW39^2+AX39^2)</f>
        <v>0.08220325595</v>
      </c>
      <c r="AZ39" s="184">
        <f t="shared" ref="AZ39:AZ40" si="111">DEGREES(IF(AX39&lt;&gt;0,ATAN2(AW39,AX39),0))</f>
        <v>-46.11522041</v>
      </c>
      <c r="BA39" s="185">
        <f t="shared" ref="BA39:BA40" si="112">AZ39*$R$26/360</f>
        <v>-3.074348028</v>
      </c>
      <c r="BB39" s="18"/>
      <c r="BC39" s="18"/>
      <c r="BD39" s="18"/>
      <c r="BE39" s="18"/>
      <c r="BF39" s="18"/>
      <c r="BG39" s="18"/>
      <c r="BH39" s="18"/>
    </row>
    <row r="40" ht="13.5" customHeight="1">
      <c r="A40" s="18"/>
      <c r="B40" s="18"/>
      <c r="C40" s="18"/>
      <c r="D40" s="18"/>
      <c r="E40" s="18"/>
      <c r="F40" s="18"/>
      <c r="G40" s="18"/>
      <c r="H40" s="18"/>
      <c r="I40" s="18"/>
      <c r="J40" s="18"/>
      <c r="K40" s="18"/>
      <c r="L40" s="240">
        <f>$K$26*$AT$28</f>
        <v>2.036756507</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211</v>
      </c>
      <c r="AQ40" s="226"/>
      <c r="AR40" s="239">
        <f t="shared" si="103"/>
        <v>0.2276730335</v>
      </c>
      <c r="AS40" s="227">
        <f t="shared" si="104"/>
        <v>-0.05818974399</v>
      </c>
      <c r="AT40" s="227">
        <f t="shared" si="105"/>
        <v>0.2349916094</v>
      </c>
      <c r="AU40" s="218">
        <f t="shared" si="106"/>
        <v>-14.3370029</v>
      </c>
      <c r="AV40" s="228">
        <f t="shared" si="107"/>
        <v>-0.955800193</v>
      </c>
      <c r="AW40" s="239">
        <f t="shared" si="108"/>
        <v>0.09800046903</v>
      </c>
      <c r="AX40" s="227">
        <f t="shared" si="109"/>
        <v>-0.05716680425</v>
      </c>
      <c r="AY40" s="227">
        <f t="shared" si="110"/>
        <v>0.1134554337</v>
      </c>
      <c r="AZ40" s="218">
        <f t="shared" si="111"/>
        <v>-30.25637783</v>
      </c>
      <c r="BA40" s="228">
        <f t="shared" si="112"/>
        <v>-2.017091856</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212</v>
      </c>
      <c r="D42" s="214" t="s">
        <v>213</v>
      </c>
      <c r="E42" s="214" t="s">
        <v>214</v>
      </c>
      <c r="F42" s="18"/>
      <c r="G42" s="18"/>
      <c r="H42" s="18"/>
      <c r="I42" s="18"/>
      <c r="J42" s="18"/>
      <c r="K42" s="214" t="s">
        <v>215</v>
      </c>
      <c r="L42" s="31" t="s">
        <v>216</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217</v>
      </c>
      <c r="AS42" s="119"/>
      <c r="AT42" s="119"/>
      <c r="AU42" s="119"/>
      <c r="AV42" s="120"/>
      <c r="AW42" s="236" t="s">
        <v>218</v>
      </c>
      <c r="AX42" s="119"/>
      <c r="AY42" s="119"/>
      <c r="AZ42" s="119"/>
      <c r="BA42" s="120"/>
      <c r="BB42" s="18"/>
      <c r="BC42" s="18"/>
      <c r="BD42" s="18"/>
      <c r="BE42" s="18"/>
      <c r="BF42" s="18"/>
      <c r="BG42" s="18"/>
      <c r="BH42" s="18"/>
    </row>
    <row r="43" ht="15.75" customHeight="1">
      <c r="A43" s="18"/>
      <c r="B43" s="18"/>
      <c r="C43" s="40" t="s">
        <v>219</v>
      </c>
      <c r="D43" s="40" t="s">
        <v>220</v>
      </c>
      <c r="E43" s="40" t="s">
        <v>221</v>
      </c>
      <c r="F43" s="18"/>
      <c r="G43" s="18"/>
      <c r="H43" s="18"/>
      <c r="I43" s="18"/>
      <c r="J43" s="18"/>
      <c r="K43" s="40" t="s">
        <v>102</v>
      </c>
      <c r="L43" s="40" t="s">
        <v>222</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89</v>
      </c>
      <c r="AS43" s="33" t="s">
        <v>90</v>
      </c>
      <c r="AT43" s="33" t="s">
        <v>91</v>
      </c>
      <c r="AU43" s="33" t="s">
        <v>92</v>
      </c>
      <c r="AV43" s="130" t="s">
        <v>92</v>
      </c>
      <c r="AW43" s="71" t="s">
        <v>89</v>
      </c>
      <c r="AX43" s="33" t="s">
        <v>90</v>
      </c>
      <c r="AY43" s="33" t="s">
        <v>91</v>
      </c>
      <c r="AZ43" s="33" t="s">
        <v>92</v>
      </c>
      <c r="BA43" s="130" t="s">
        <v>92</v>
      </c>
      <c r="BB43" s="18"/>
      <c r="BC43" s="18"/>
      <c r="BD43" s="18"/>
      <c r="BE43" s="18"/>
      <c r="BF43" s="18"/>
      <c r="BG43" s="18"/>
      <c r="BH43" s="18"/>
    </row>
    <row r="44" ht="15.75" customHeight="1">
      <c r="A44" s="18"/>
      <c r="B44" s="18"/>
      <c r="C44" s="237">
        <f>1/ABS($AX$40)/$S$26/1000</f>
        <v>240.5414692</v>
      </c>
      <c r="D44" s="237">
        <f>1/ABS($AX$52)/$S$26/1000</f>
        <v>248.3736302</v>
      </c>
      <c r="E44" s="238">
        <f>$AY$46/$S$26/1000</f>
        <v>129.2001089</v>
      </c>
      <c r="F44" s="18"/>
      <c r="G44" s="18"/>
      <c r="H44" s="18"/>
      <c r="I44" s="18"/>
      <c r="J44" s="18"/>
      <c r="K44" s="229">
        <f>$BA$28</f>
        <v>2.017091856</v>
      </c>
      <c r="L44" s="230">
        <f>$AY$28</f>
        <v>8.814033558</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223</v>
      </c>
      <c r="AS44" s="136" t="s">
        <v>224</v>
      </c>
      <c r="AT44" s="136" t="s">
        <v>225</v>
      </c>
      <c r="AU44" s="39" t="s">
        <v>101</v>
      </c>
      <c r="AV44" s="137" t="s">
        <v>102</v>
      </c>
      <c r="AW44" s="37" t="s">
        <v>226</v>
      </c>
      <c r="AX44" s="136" t="s">
        <v>227</v>
      </c>
      <c r="AY44" s="136" t="s">
        <v>228</v>
      </c>
      <c r="AZ44" s="39" t="s">
        <v>101</v>
      </c>
      <c r="BA44" s="137" t="s">
        <v>102</v>
      </c>
      <c r="BB44" s="18"/>
      <c r="BC44" s="18"/>
      <c r="BD44" s="18"/>
      <c r="BE44" s="18"/>
      <c r="BF44" s="18"/>
      <c r="BG44" s="18"/>
      <c r="BH44" s="18"/>
    </row>
    <row r="45" ht="15.75" customHeight="1">
      <c r="A45" s="18"/>
      <c r="B45" s="18"/>
      <c r="C45" s="18"/>
      <c r="D45" s="18"/>
      <c r="E45" s="18"/>
      <c r="F45" s="18"/>
      <c r="G45" s="18"/>
      <c r="H45" s="18"/>
      <c r="I45" s="18"/>
      <c r="J45" s="18"/>
      <c r="K45" s="18"/>
      <c r="L45" s="31" t="s">
        <v>229</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210</v>
      </c>
      <c r="AQ45" s="224"/>
      <c r="AR45" s="239">
        <f t="shared" ref="AR45:AR46" si="113">AR27-$BB27</f>
        <v>8.301909176</v>
      </c>
      <c r="AS45" s="227">
        <f t="shared" ref="AS45:AS46" si="114">AS27-$BC27</f>
        <v>11.09772469</v>
      </c>
      <c r="AT45" s="182">
        <f t="shared" ref="AT45:AT46" si="115">SQRT(AR45^2+AS45^2)</f>
        <v>13.85933581</v>
      </c>
      <c r="AU45" s="184">
        <f t="shared" ref="AU45:AU46" si="116">DEGREES(IF(AS45&lt;&gt;0,ATAN2(AR45,AS45),0))</f>
        <v>53.20082624</v>
      </c>
      <c r="AV45" s="185">
        <f t="shared" ref="AV45:AV46" si="117">AU45*$R$26/360</f>
        <v>3.546721749</v>
      </c>
      <c r="AW45" s="239">
        <f t="shared" ref="AW45:AW46" si="118">AW27-$BB27</f>
        <v>8.308123996</v>
      </c>
      <c r="AX45" s="227">
        <f t="shared" ref="AX45:AX46" si="119">AX27-$BC27</f>
        <v>11.17074213</v>
      </c>
      <c r="AY45" s="182">
        <f t="shared" ref="AY45:AY46" si="120">SQRT(AW45^2+AX45^2)</f>
        <v>13.92158052</v>
      </c>
      <c r="AZ45" s="184">
        <f t="shared" ref="AZ45:AZ46" si="121">DEGREES(IF(AX45&lt;&gt;0,ATAN2(AW45,AX45),0))</f>
        <v>53.36035517</v>
      </c>
      <c r="BA45" s="185">
        <f t="shared" ref="BA45:BA46" si="122">AZ45*$R$26/360</f>
        <v>3.557357011</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211</v>
      </c>
      <c r="AQ46" s="226"/>
      <c r="AR46" s="239">
        <f t="shared" si="113"/>
        <v>4.533989852</v>
      </c>
      <c r="AS46" s="227">
        <f t="shared" si="114"/>
        <v>1.500127652</v>
      </c>
      <c r="AT46" s="227">
        <f t="shared" si="115"/>
        <v>4.775714287</v>
      </c>
      <c r="AU46" s="218">
        <f t="shared" si="116"/>
        <v>18.30744798</v>
      </c>
      <c r="AV46" s="228">
        <f t="shared" si="117"/>
        <v>1.220496532</v>
      </c>
      <c r="AW46" s="239">
        <f t="shared" si="118"/>
        <v>8.024431922</v>
      </c>
      <c r="AX46" s="227">
        <f t="shared" si="119"/>
        <v>4.887495833</v>
      </c>
      <c r="AY46" s="227">
        <f t="shared" si="120"/>
        <v>9.395697057</v>
      </c>
      <c r="AZ46" s="218">
        <f t="shared" si="121"/>
        <v>31.34462719</v>
      </c>
      <c r="BA46" s="228">
        <f t="shared" si="122"/>
        <v>2.089641812</v>
      </c>
      <c r="BB46" s="18"/>
      <c r="BC46" s="18"/>
      <c r="BD46" s="18"/>
      <c r="BE46" s="18"/>
      <c r="BF46" s="18"/>
      <c r="BG46" s="18"/>
      <c r="BH46" s="18"/>
    </row>
    <row r="47" ht="13.5" customHeight="1">
      <c r="A47" s="18"/>
      <c r="B47" s="18"/>
      <c r="C47" s="18"/>
      <c r="D47" s="18"/>
      <c r="E47" s="18"/>
      <c r="F47" s="18"/>
      <c r="G47" s="18"/>
      <c r="H47" s="18"/>
      <c r="I47" s="18"/>
      <c r="J47" s="18"/>
      <c r="K47" s="18"/>
      <c r="L47" s="240">
        <f>$K$26*$AY$28</f>
        <v>4.21857882</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230</v>
      </c>
      <c r="AS48" s="119"/>
      <c r="AT48" s="119"/>
      <c r="AU48" s="119"/>
      <c r="AV48" s="120"/>
      <c r="AW48" s="236" t="s">
        <v>231</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89</v>
      </c>
      <c r="AS49" s="33" t="s">
        <v>90</v>
      </c>
      <c r="AT49" s="33" t="s">
        <v>91</v>
      </c>
      <c r="AU49" s="33" t="s">
        <v>92</v>
      </c>
      <c r="AV49" s="130" t="s">
        <v>92</v>
      </c>
      <c r="AW49" s="71" t="s">
        <v>89</v>
      </c>
      <c r="AX49" s="33" t="s">
        <v>90</v>
      </c>
      <c r="AY49" s="33" t="s">
        <v>91</v>
      </c>
      <c r="AZ49" s="33" t="s">
        <v>92</v>
      </c>
      <c r="BA49" s="130" t="s">
        <v>92</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232</v>
      </c>
      <c r="AS50" s="136" t="s">
        <v>233</v>
      </c>
      <c r="AT50" s="136" t="s">
        <v>234</v>
      </c>
      <c r="AU50" s="39" t="s">
        <v>101</v>
      </c>
      <c r="AV50" s="137" t="s">
        <v>102</v>
      </c>
      <c r="AW50" s="37" t="s">
        <v>235</v>
      </c>
      <c r="AX50" s="136" t="s">
        <v>236</v>
      </c>
      <c r="AY50" s="136" t="s">
        <v>237</v>
      </c>
      <c r="AZ50" s="39" t="s">
        <v>101</v>
      </c>
      <c r="BA50" s="137" t="s">
        <v>102</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210</v>
      </c>
      <c r="AQ51" s="224"/>
      <c r="AR51" s="239">
        <f t="shared" ref="AR51:AR52" si="123">AR45/(AR45^2+AS45^2)</f>
        <v>0.04322083392</v>
      </c>
      <c r="AS51" s="227">
        <f t="shared" ref="AS51:AS52" si="124">-AS45/(AR45^2+AS45^2)</f>
        <v>-0.05777621814</v>
      </c>
      <c r="AT51" s="182">
        <f t="shared" ref="AT51:AT52" si="125">SQRT(AR51^2+AS51^2)</f>
        <v>0.07215352983</v>
      </c>
      <c r="AU51" s="184">
        <f t="shared" ref="AU51:AU52" si="126">DEGREES(IF(AS51&lt;&gt;0,ATAN2(AR51,AS51),0))</f>
        <v>-53.20082624</v>
      </c>
      <c r="AV51" s="185">
        <f t="shared" ref="AV51:AV52" si="127">AU51*$R$26/360</f>
        <v>-3.546721749</v>
      </c>
      <c r="AW51" s="239">
        <f t="shared" ref="AW51:AW52" si="128">AW45/(AW45^2+AX45^2)</f>
        <v>0.04286727553</v>
      </c>
      <c r="AX51" s="227">
        <f t="shared" ref="AX51:AX52" si="129">-AX45/(AW45^2+AX45^2)</f>
        <v>-0.05763747402</v>
      </c>
      <c r="AY51" s="182">
        <f t="shared" ref="AY51:AY52" si="130">SQRT(AW51^2+AX51^2)</f>
        <v>0.07183092456</v>
      </c>
      <c r="AZ51" s="184">
        <f t="shared" ref="AZ51:AZ52" si="131">DEGREES(IF(AX51&lt;&gt;0,ATAN2(AW51,AX51),0))</f>
        <v>-53.36035517</v>
      </c>
      <c r="BA51" s="185">
        <f t="shared" ref="BA51:BA52" si="132">AZ51*$R$26/360</f>
        <v>-3.557357011</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211</v>
      </c>
      <c r="AQ52" s="226"/>
      <c r="AR52" s="239">
        <f t="shared" si="123"/>
        <v>0.1987942737</v>
      </c>
      <c r="AS52" s="227">
        <f t="shared" si="124"/>
        <v>-0.06577358946</v>
      </c>
      <c r="AT52" s="227">
        <f t="shared" si="125"/>
        <v>0.2093927609</v>
      </c>
      <c r="AU52" s="218">
        <f t="shared" si="126"/>
        <v>-18.30744798</v>
      </c>
      <c r="AV52" s="228">
        <f t="shared" si="127"/>
        <v>-1.220496532</v>
      </c>
      <c r="AW52" s="239">
        <f t="shared" si="128"/>
        <v>0.09089840986</v>
      </c>
      <c r="AX52" s="227">
        <f t="shared" si="129"/>
        <v>-0.05536411845</v>
      </c>
      <c r="AY52" s="227">
        <f t="shared" si="130"/>
        <v>0.1064316989</v>
      </c>
      <c r="AZ52" s="218">
        <f t="shared" si="131"/>
        <v>-31.34462719</v>
      </c>
      <c r="BA52" s="228">
        <f t="shared" si="132"/>
        <v>-2.089641812</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238</v>
      </c>
      <c r="AS54" s="119"/>
      <c r="AT54" s="119"/>
      <c r="AU54" s="119"/>
      <c r="AV54" s="120"/>
      <c r="AW54" s="24" t="s">
        <v>239</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89</v>
      </c>
      <c r="AS55" s="33" t="s">
        <v>90</v>
      </c>
      <c r="AT55" s="33" t="s">
        <v>91</v>
      </c>
      <c r="AU55" s="33" t="s">
        <v>92</v>
      </c>
      <c r="AV55" s="130" t="s">
        <v>92</v>
      </c>
      <c r="AW55" s="71" t="s">
        <v>89</v>
      </c>
      <c r="AX55" s="33" t="s">
        <v>90</v>
      </c>
      <c r="AY55" s="33" t="s">
        <v>91</v>
      </c>
      <c r="AZ55" s="33" t="s">
        <v>92</v>
      </c>
      <c r="BA55" s="130" t="s">
        <v>92</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101</v>
      </c>
      <c r="AV56" s="137" t="s">
        <v>102</v>
      </c>
      <c r="AW56" s="37" t="s">
        <v>25</v>
      </c>
      <c r="AX56" s="136" t="s">
        <v>25</v>
      </c>
      <c r="AY56" s="136" t="s">
        <v>25</v>
      </c>
      <c r="AZ56" s="39" t="s">
        <v>101</v>
      </c>
      <c r="BA56" s="137" t="s">
        <v>102</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f>1-$K$21*AR28</f>
        <v>0.299100413</v>
      </c>
      <c r="AS57" s="227">
        <f>-$K$21*AS28</f>
        <v>-0.1791392107</v>
      </c>
      <c r="AT57" s="227">
        <f>SQRT(AR57^2+AS57^2)</f>
        <v>0.3486429604</v>
      </c>
      <c r="AU57" s="218">
        <f>DEGREES(IF(AS57&lt;&gt;0,ATAN2(AR57,AS57),0))</f>
        <v>-30.91851602</v>
      </c>
      <c r="AV57" s="228">
        <f>AU57*$R$26/360</f>
        <v>-2.061234402</v>
      </c>
      <c r="AW57" s="239">
        <f>1-$K$22*AW28</f>
        <v>0.6954647673</v>
      </c>
      <c r="AX57" s="227">
        <f>-$K$22*AX28</f>
        <v>-0.1776451298</v>
      </c>
      <c r="AY57" s="227">
        <f>SQRT(AW57^2+AX57^2)</f>
        <v>0.717794563</v>
      </c>
      <c r="AZ57" s="218">
        <f>DEGREES(IF(AX57&lt;&gt;0,ATAN2(AW57,AX57),0))</f>
        <v>-14.32888074</v>
      </c>
      <c r="BA57" s="228">
        <f>AZ57*$R$26/360</f>
        <v>-0.9552587163</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240</v>
      </c>
      <c r="AS59" s="119"/>
      <c r="AT59" s="119"/>
      <c r="AU59" s="119"/>
      <c r="AV59" s="120"/>
      <c r="AW59" s="24" t="s">
        <v>241</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89</v>
      </c>
      <c r="AS60" s="33" t="s">
        <v>90</v>
      </c>
      <c r="AT60" s="33" t="s">
        <v>91</v>
      </c>
      <c r="AU60" s="33" t="s">
        <v>92</v>
      </c>
      <c r="AV60" s="130" t="s">
        <v>92</v>
      </c>
      <c r="AW60" s="71" t="s">
        <v>89</v>
      </c>
      <c r="AX60" s="33" t="s">
        <v>90</v>
      </c>
      <c r="AY60" s="33" t="s">
        <v>91</v>
      </c>
      <c r="AZ60" s="33" t="s">
        <v>92</v>
      </c>
      <c r="BA60" s="130" t="s">
        <v>92</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101</v>
      </c>
      <c r="AV61" s="137" t="s">
        <v>102</v>
      </c>
      <c r="AW61" s="37" t="s">
        <v>25</v>
      </c>
      <c r="AX61" s="136" t="s">
        <v>25</v>
      </c>
      <c r="AY61" s="136" t="s">
        <v>25</v>
      </c>
      <c r="AZ61" s="39" t="s">
        <v>101</v>
      </c>
      <c r="BA61" s="137" t="s">
        <v>102</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f>1-$K$21*AR46</f>
        <v>0.2292217252</v>
      </c>
      <c r="AS62" s="227">
        <f>-$K$21*AS46</f>
        <v>-0.2550217009</v>
      </c>
      <c r="AT62" s="227">
        <f>SQRT(AR62^2+AS62^2)</f>
        <v>0.3428974588</v>
      </c>
      <c r="AU62" s="218">
        <f>DEGREES(IF(AS62&lt;&gt;0,ATAN2(AR62,AS62),0))</f>
        <v>-48.04977475</v>
      </c>
      <c r="AV62" s="228">
        <f>AU62*$R$26/360</f>
        <v>-3.203318317</v>
      </c>
      <c r="AW62" s="239">
        <f>1-$K$22*AW46</f>
        <v>0.6790227231</v>
      </c>
      <c r="AX62" s="227">
        <f>-$K$22*AX46</f>
        <v>-0.1954998333</v>
      </c>
      <c r="AY62" s="227">
        <f>SQRT(AW62^2+AX62^2)</f>
        <v>0.7066060029</v>
      </c>
      <c r="AZ62" s="218">
        <f>DEGREES(IF(AX62&lt;&gt;0,ATAN2(AW62,AX62),0))</f>
        <v>-16.06182585</v>
      </c>
      <c r="BA62" s="228">
        <f>AZ62*$R$26/360</f>
        <v>-1.07078839</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242</v>
      </c>
      <c r="C2" s="244"/>
      <c r="D2" s="245" t="s">
        <v>243</v>
      </c>
      <c r="E2" s="119"/>
      <c r="F2" s="119"/>
      <c r="G2" s="120"/>
      <c r="H2" s="245" t="s">
        <v>244</v>
      </c>
      <c r="I2" s="119"/>
      <c r="J2" s="119"/>
      <c r="K2" s="120"/>
      <c r="L2" s="245" t="s">
        <v>245</v>
      </c>
      <c r="M2" s="119"/>
      <c r="N2" s="119"/>
      <c r="O2" s="120"/>
      <c r="P2" s="245" t="s">
        <v>246</v>
      </c>
      <c r="Q2" s="119"/>
      <c r="R2" s="119"/>
      <c r="S2" s="120"/>
      <c r="T2" s="245" t="s">
        <v>247</v>
      </c>
      <c r="U2" s="119"/>
      <c r="V2" s="119"/>
      <c r="W2" s="120"/>
      <c r="X2" s="245" t="s">
        <v>248</v>
      </c>
      <c r="Y2" s="119"/>
      <c r="Z2" s="119"/>
      <c r="AA2" s="120"/>
      <c r="AB2" s="245" t="s">
        <v>249</v>
      </c>
      <c r="AC2" s="119"/>
      <c r="AD2" s="119"/>
      <c r="AE2" s="120"/>
      <c r="AF2" s="245" t="s">
        <v>250</v>
      </c>
      <c r="AG2" s="119"/>
      <c r="AH2" s="119"/>
      <c r="AI2" s="120"/>
      <c r="AJ2" s="245" t="s">
        <v>251</v>
      </c>
      <c r="AK2" s="119"/>
      <c r="AL2" s="119"/>
      <c r="AM2" s="120"/>
      <c r="AN2" s="245" t="s">
        <v>252</v>
      </c>
      <c r="AO2" s="119"/>
      <c r="AP2" s="119"/>
      <c r="AQ2" s="120"/>
      <c r="AR2" s="245" t="s">
        <v>253</v>
      </c>
      <c r="AS2" s="119"/>
      <c r="AT2" s="119"/>
      <c r="AU2" s="120"/>
      <c r="AV2" s="245" t="s">
        <v>254</v>
      </c>
      <c r="AW2" s="119"/>
      <c r="AX2" s="119"/>
      <c r="AY2" s="120"/>
      <c r="AZ2" s="241"/>
    </row>
    <row r="3" ht="12.75" customHeight="1">
      <c r="A3" s="241"/>
      <c r="B3" s="246"/>
      <c r="C3" s="247"/>
      <c r="D3" s="248">
        <f>'Calcoli componente'!$X$21</f>
        <v>1</v>
      </c>
      <c r="E3" s="249">
        <f>'Calcoli componente'!$Y$21</f>
        <v>0</v>
      </c>
      <c r="F3" s="249">
        <f>'Calcoli componente'!$AC$21</f>
        <v>-0.17</v>
      </c>
      <c r="G3" s="250">
        <f>'Calcoli componente'!$AD$21</f>
        <v>0</v>
      </c>
      <c r="H3" s="248">
        <f>'Calcoli componente'!$X$7</f>
        <v>0.999991775</v>
      </c>
      <c r="I3" s="249">
        <f>'Calcoli componente'!$Y$7</f>
        <v>0.007024946387</v>
      </c>
      <c r="J3" s="249">
        <f>'Calcoli componente'!$AC$7</f>
        <v>-0.00999998355</v>
      </c>
      <c r="K3" s="250">
        <f>'Calcoli componente'!$AD$7</f>
        <v>-0.00002341649529</v>
      </c>
      <c r="L3" s="248">
        <f>'Calcoli componente'!$X$8</f>
        <v>-2.869625773</v>
      </c>
      <c r="M3" s="249">
        <f>'Calcoli componente'!$Y$8</f>
        <v>3.631604202</v>
      </c>
      <c r="N3" s="249">
        <f>'Calcoli componente'!$AC$8</f>
        <v>-0.05298693004</v>
      </c>
      <c r="O3" s="250">
        <f>'Calcoli componente'!$AD$8</f>
        <v>-0.3784064118</v>
      </c>
      <c r="P3" s="248">
        <f>'Calcoli componente'!$X$9</f>
        <v>1</v>
      </c>
      <c r="Q3" s="249">
        <f>'Calcoli componente'!$Y$9</f>
        <v>0</v>
      </c>
      <c r="R3" s="249">
        <f>'Calcoli componente'!$AC$9</f>
        <v>0</v>
      </c>
      <c r="S3" s="250">
        <f>'Calcoli componente'!$AD$9</f>
        <v>0</v>
      </c>
      <c r="T3" s="248">
        <f>'Calcoli componente'!$X$10</f>
        <v>1</v>
      </c>
      <c r="U3" s="249">
        <f>'Calcoli componente'!$Y$10</f>
        <v>0</v>
      </c>
      <c r="V3" s="249">
        <f>'Calcoli componente'!$AC$10</f>
        <v>0</v>
      </c>
      <c r="W3" s="250">
        <f>'Calcoli componente'!$AD$10</f>
        <v>0</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-0.17</v>
      </c>
      <c r="H4" s="248">
        <f>-'Calcoli componente'!$Y$7</f>
        <v>-0.007024946387</v>
      </c>
      <c r="I4" s="249">
        <f>'Calcoli componente'!$X$7</f>
        <v>0.999991775</v>
      </c>
      <c r="J4" s="249">
        <f>-'Calcoli componente'!$AD$7</f>
        <v>0.00002341649529</v>
      </c>
      <c r="K4" s="250">
        <f>'Calcoli componente'!$AC$7</f>
        <v>-0.00999998355</v>
      </c>
      <c r="L4" s="248">
        <f>-'Calcoli componente'!$Y$8</f>
        <v>-3.631604202</v>
      </c>
      <c r="M4" s="249">
        <f>'Calcoli componente'!$X$8</f>
        <v>-2.869625773</v>
      </c>
      <c r="N4" s="249">
        <f>-'Calcoli componente'!$AD$8</f>
        <v>0.3784064118</v>
      </c>
      <c r="O4" s="250">
        <f>'Calcoli componente'!$AC$8</f>
        <v>-0.05298693004</v>
      </c>
      <c r="P4" s="248">
        <f>-'Calcoli componente'!$Y$9</f>
        <v>0</v>
      </c>
      <c r="Q4" s="249">
        <f>'Calcoli componente'!$X$9</f>
        <v>1</v>
      </c>
      <c r="R4" s="249">
        <f>-'Calcoli componente'!$AD$9</f>
        <v>0</v>
      </c>
      <c r="S4" s="250">
        <f>'Calcoli componente'!$AC$9</f>
        <v>0</v>
      </c>
      <c r="T4" s="248">
        <f>-'Calcoli componente'!$Y$10</f>
        <v>0</v>
      </c>
      <c r="U4" s="249">
        <f>'Calcoli componente'!$X$10</f>
        <v>1</v>
      </c>
      <c r="V4" s="249">
        <f>-'Calcoli componente'!$AD$10</f>
        <v>0</v>
      </c>
      <c r="W4" s="250">
        <f>'Calcoli componente'!$AC$10</f>
        <v>0</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0.003289994284</v>
      </c>
      <c r="I5" s="249">
        <f>'Calcoli componente'!$AI$7</f>
        <v>-1.404987737</v>
      </c>
      <c r="J5" s="249">
        <f>'Calcoli componente'!$AM$7</f>
        <v>0.999991775</v>
      </c>
      <c r="K5" s="250">
        <f>'Calcoli componente'!$AN$7</f>
        <v>0.007024946387</v>
      </c>
      <c r="L5" s="248">
        <f>'Calcoli componente'!$AH$8</f>
        <v>56.18175085</v>
      </c>
      <c r="M5" s="249">
        <f>'Calcoli componente'!$AI$8</f>
        <v>-7.866934622</v>
      </c>
      <c r="N5" s="249">
        <f>'Calcoli componente'!$AM$8</f>
        <v>-2.869625773</v>
      </c>
      <c r="O5" s="250">
        <f>'Calcoli componente'!$AN$8</f>
        <v>3.631604202</v>
      </c>
      <c r="P5" s="248">
        <f>'Calcoli componente'!$AH$9</f>
        <v>0</v>
      </c>
      <c r="Q5" s="249">
        <f>'Calcoli componente'!$AI$9</f>
        <v>0</v>
      </c>
      <c r="R5" s="249">
        <f>'Calcoli componente'!$AM$9</f>
        <v>1</v>
      </c>
      <c r="S5" s="250">
        <f>'Calcoli componente'!$AN$9</f>
        <v>0</v>
      </c>
      <c r="T5" s="248">
        <f>'Calcoli componente'!$AH$10</f>
        <v>0</v>
      </c>
      <c r="U5" s="249">
        <f>'Calcoli componente'!$AI$10</f>
        <v>0</v>
      </c>
      <c r="V5" s="249">
        <f>'Calcoli componente'!$AM$10</f>
        <v>1</v>
      </c>
      <c r="W5" s="250">
        <f>'Calcoli componente'!$AN$10</f>
        <v>0</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1.404987737</v>
      </c>
      <c r="I6" s="254">
        <f>'Calcoli componente'!$AH$7</f>
        <v>0.003289994284</v>
      </c>
      <c r="J6" s="254">
        <f>-'Calcoli componente'!$AN$7</f>
        <v>-0.007024946387</v>
      </c>
      <c r="K6" s="255">
        <f>'Calcoli componente'!$AM$7</f>
        <v>0.999991775</v>
      </c>
      <c r="L6" s="253">
        <f>-'Calcoli componente'!$AI$8</f>
        <v>7.866934622</v>
      </c>
      <c r="M6" s="254">
        <f>'Calcoli componente'!$AH$8</f>
        <v>56.18175085</v>
      </c>
      <c r="N6" s="254">
        <f>-'Calcoli componente'!$AN$8</f>
        <v>-3.631604202</v>
      </c>
      <c r="O6" s="255">
        <f>'Calcoli componente'!$AM$8</f>
        <v>-2.869625773</v>
      </c>
      <c r="P6" s="253">
        <f>-'Calcoli componente'!$AI$9</f>
        <v>0</v>
      </c>
      <c r="Q6" s="254">
        <f>'Calcoli componente'!$AH$9</f>
        <v>0</v>
      </c>
      <c r="R6" s="254">
        <f>-'Calcoli componente'!$AN$9</f>
        <v>0</v>
      </c>
      <c r="S6" s="255">
        <f>'Calcoli componente'!$AM$9</f>
        <v>1</v>
      </c>
      <c r="T6" s="253">
        <f>-'Calcoli componente'!$AI$10</f>
        <v>0</v>
      </c>
      <c r="U6" s="254">
        <f>'Calcoli componente'!$AH$10</f>
        <v>0</v>
      </c>
      <c r="V6" s="254">
        <f>-'Calcoli componente'!$AN$10</f>
        <v>0</v>
      </c>
      <c r="W6" s="255">
        <f>'Calcoli componente'!$AM$10</f>
        <v>1</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255</v>
      </c>
      <c r="C8" s="260"/>
      <c r="D8" s="261"/>
      <c r="E8" s="261"/>
      <c r="F8" s="261"/>
      <c r="G8" s="261"/>
      <c r="H8" s="261"/>
      <c r="I8" s="262"/>
      <c r="J8" s="263" t="s">
        <v>256</v>
      </c>
      <c r="K8" s="264"/>
      <c r="L8" s="264"/>
      <c r="M8" s="265"/>
      <c r="N8" s="263" t="s">
        <v>257</v>
      </c>
      <c r="O8" s="264"/>
      <c r="P8" s="264"/>
      <c r="Q8" s="265"/>
      <c r="R8" s="263" t="s">
        <v>258</v>
      </c>
      <c r="S8" s="264"/>
      <c r="T8" s="264"/>
      <c r="U8" s="265"/>
      <c r="V8" s="263" t="s">
        <v>259</v>
      </c>
      <c r="W8" s="264"/>
      <c r="X8" s="264"/>
      <c r="Y8" s="265"/>
      <c r="Z8" s="263" t="s">
        <v>260</v>
      </c>
      <c r="AA8" s="264"/>
      <c r="AB8" s="264"/>
      <c r="AC8" s="265"/>
      <c r="AD8" s="263" t="s">
        <v>261</v>
      </c>
      <c r="AE8" s="264"/>
      <c r="AF8" s="264"/>
      <c r="AG8" s="265"/>
      <c r="AH8" s="263" t="s">
        <v>262</v>
      </c>
      <c r="AI8" s="264"/>
      <c r="AJ8" s="264"/>
      <c r="AK8" s="265"/>
      <c r="AL8" s="263" t="s">
        <v>263</v>
      </c>
      <c r="AM8" s="264"/>
      <c r="AN8" s="264"/>
      <c r="AO8" s="265"/>
      <c r="AP8" s="263" t="s">
        <v>264</v>
      </c>
      <c r="AQ8" s="264"/>
      <c r="AR8" s="264"/>
      <c r="AS8" s="265"/>
      <c r="AT8" s="263" t="s">
        <v>265</v>
      </c>
      <c r="AU8" s="264"/>
      <c r="AV8" s="264"/>
      <c r="AW8" s="265"/>
      <c r="AX8" s="266"/>
      <c r="AY8" s="241"/>
      <c r="AZ8" s="241"/>
    </row>
    <row r="9" ht="12.75" customHeight="1">
      <c r="A9" s="241"/>
      <c r="B9" s="246"/>
      <c r="C9" s="261"/>
      <c r="D9" s="261"/>
      <c r="E9" s="261"/>
      <c r="F9" s="261"/>
      <c r="G9" s="261"/>
      <c r="H9" s="261"/>
      <c r="I9" s="261"/>
      <c r="J9" s="248">
        <f t="array" ref="J9:M12">MMULT(L3:O6,H3:K6)</f>
        <v>-3.42694469</v>
      </c>
      <c r="K9" s="249">
        <v>3.6846163971953874</v>
      </c>
      <c r="L9" s="249">
        <v>-0.021546959501402445</v>
      </c>
      <c r="M9" s="250">
        <v>-0.41502431544362567</v>
      </c>
      <c r="N9" s="248">
        <f t="array" ref="N9:Q12">MMULT(P3:S6,J9:M12)</f>
        <v>-3.42694469</v>
      </c>
      <c r="O9" s="249">
        <v>3.6846163971953874</v>
      </c>
      <c r="P9" s="249">
        <v>-0.021546959501402445</v>
      </c>
      <c r="Q9" s="250">
        <v>-0.41502431544362567</v>
      </c>
      <c r="R9" s="248">
        <f t="array" ref="R9:U12">MMULT(T3:W6,N9:Q12)</f>
        <v>-3.42694469</v>
      </c>
      <c r="S9" s="249">
        <v>3.6846163971953874</v>
      </c>
      <c r="T9" s="249">
        <v>-0.021546959501402445</v>
      </c>
      <c r="U9" s="250">
        <v>-0.41502431544362567</v>
      </c>
      <c r="V9" s="248">
        <f t="array" ref="V9:Y12">MMULT(X3:AA6,R9:U12)</f>
        <v>-3.42694469</v>
      </c>
      <c r="W9" s="249">
        <v>3.6846163971953874</v>
      </c>
      <c r="X9" s="249">
        <v>-0.021546959501402445</v>
      </c>
      <c r="Y9" s="250">
        <v>-0.41502431544362567</v>
      </c>
      <c r="Z9" s="248">
        <f t="array" ref="Z9:AC12">MMULT(AB3:AE6,V9:Y12)</f>
        <v>-3.42694469</v>
      </c>
      <c r="AA9" s="249">
        <v>3.6846163971953874</v>
      </c>
      <c r="AB9" s="249">
        <v>-0.021546959501402445</v>
      </c>
      <c r="AC9" s="250">
        <v>-0.41502431544362567</v>
      </c>
      <c r="AD9" s="248">
        <f t="array" ref="AD9:AG12">MMULT(AF3:AI6,Z9:AC12)</f>
        <v>-3.42694469</v>
      </c>
      <c r="AE9" s="249">
        <v>3.6846163971953874</v>
      </c>
      <c r="AF9" s="249">
        <v>-0.021546959501402445</v>
      </c>
      <c r="AG9" s="250">
        <v>-0.41502431544362567</v>
      </c>
      <c r="AH9" s="248">
        <f t="array" ref="AH9:AK12">MMULT(AJ3:AM6,AD9:AG12)</f>
        <v>-3.42694469</v>
      </c>
      <c r="AI9" s="249">
        <v>3.6846163971953874</v>
      </c>
      <c r="AJ9" s="249">
        <v>-0.021546959501402445</v>
      </c>
      <c r="AK9" s="250">
        <v>-0.41502431544362567</v>
      </c>
      <c r="AL9" s="248">
        <f t="array" ref="AL9:AO12">MMULT(AN3:AQ6,AH9:AK12)</f>
        <v>-3.42694469</v>
      </c>
      <c r="AM9" s="249">
        <v>3.6846163971953874</v>
      </c>
      <c r="AN9" s="249">
        <v>-0.021546959501402445</v>
      </c>
      <c r="AO9" s="250">
        <v>-0.41502431544362567</v>
      </c>
      <c r="AP9" s="267">
        <f t="array" ref="AP9:AS12">MMULT(AR3:AU6,AL9:AO12)</f>
        <v>-3.42694469</v>
      </c>
      <c r="AQ9" s="268">
        <v>3.6846163971953874</v>
      </c>
      <c r="AR9" s="268">
        <v>-0.021546959501402445</v>
      </c>
      <c r="AS9" s="269">
        <v>-0.41502431544362567</v>
      </c>
      <c r="AT9" s="248">
        <f t="array" ref="AT9:AW12">MMULT(AV3:AY6,AP9:AS12)</f>
        <v>-5.880123565</v>
      </c>
      <c r="AU9" s="249">
        <v>3.821754763276687</v>
      </c>
      <c r="AV9" s="249">
        <v>0.11673763232795262</v>
      </c>
      <c r="AW9" s="250">
        <v>-0.5625750755365153</v>
      </c>
      <c r="AX9" s="241"/>
      <c r="AY9" s="241"/>
      <c r="AZ9" s="241"/>
    </row>
    <row r="10" ht="12.75" hidden="1" customHeight="1">
      <c r="A10" s="241"/>
      <c r="B10" s="246"/>
      <c r="C10" s="261"/>
      <c r="D10" s="261"/>
      <c r="E10" s="261"/>
      <c r="F10" s="261"/>
      <c r="G10" s="261"/>
      <c r="H10" s="261"/>
      <c r="I10" s="261"/>
      <c r="J10" s="248">
        <v>-3.6846163971953874</v>
      </c>
      <c r="K10" s="249">
        <v>-3.426944690070513</v>
      </c>
      <c r="L10" s="249">
        <v>0.41502431544362567</v>
      </c>
      <c r="M10" s="250">
        <v>-0.021546959501402445</v>
      </c>
      <c r="N10" s="248">
        <v>-3.6846163971953874</v>
      </c>
      <c r="O10" s="249">
        <v>-3.426944690070513</v>
      </c>
      <c r="P10" s="249">
        <v>0.41502431544362567</v>
      </c>
      <c r="Q10" s="250">
        <v>-0.021546959501402445</v>
      </c>
      <c r="R10" s="248">
        <v>-3.6846163971953874</v>
      </c>
      <c r="S10" s="249">
        <v>-3.426944690070513</v>
      </c>
      <c r="T10" s="249">
        <v>0.41502431544362567</v>
      </c>
      <c r="U10" s="250">
        <v>-0.021546959501402445</v>
      </c>
      <c r="V10" s="248">
        <v>-3.6846163971953874</v>
      </c>
      <c r="W10" s="249">
        <v>-3.426944690070513</v>
      </c>
      <c r="X10" s="249">
        <v>0.41502431544362567</v>
      </c>
      <c r="Y10" s="250">
        <v>-0.021546959501402445</v>
      </c>
      <c r="Z10" s="248">
        <v>-3.6846163971953874</v>
      </c>
      <c r="AA10" s="249">
        <v>-3.426944690070513</v>
      </c>
      <c r="AB10" s="249">
        <v>0.41502431544362567</v>
      </c>
      <c r="AC10" s="250">
        <v>-0.021546959501402445</v>
      </c>
      <c r="AD10" s="248">
        <v>-3.6846163971953874</v>
      </c>
      <c r="AE10" s="249">
        <v>-3.426944690070513</v>
      </c>
      <c r="AF10" s="249">
        <v>0.41502431544362567</v>
      </c>
      <c r="AG10" s="250">
        <v>-0.021546959501402445</v>
      </c>
      <c r="AH10" s="248">
        <v>-3.6846163971953874</v>
      </c>
      <c r="AI10" s="249">
        <v>-3.426944690070513</v>
      </c>
      <c r="AJ10" s="249">
        <v>0.41502431544362567</v>
      </c>
      <c r="AK10" s="250">
        <v>-0.021546959501402445</v>
      </c>
      <c r="AL10" s="248">
        <v>-3.6846163971953874</v>
      </c>
      <c r="AM10" s="249">
        <v>-3.426944690070513</v>
      </c>
      <c r="AN10" s="249">
        <v>0.41502431544362567</v>
      </c>
      <c r="AO10" s="250">
        <v>-0.021546959501402445</v>
      </c>
      <c r="AP10" s="267">
        <v>-3.6846163971953874</v>
      </c>
      <c r="AQ10" s="268">
        <v>-3.426944690070513</v>
      </c>
      <c r="AR10" s="268">
        <v>0.41502431544362567</v>
      </c>
      <c r="AS10" s="269">
        <v>-0.021546959501402445</v>
      </c>
      <c r="AT10" s="248">
        <v>-3.821754763276687</v>
      </c>
      <c r="AU10" s="249">
        <v>-5.880123564859714</v>
      </c>
      <c r="AV10" s="249">
        <v>0.5625750755365153</v>
      </c>
      <c r="AW10" s="250">
        <v>0.11673763232795262</v>
      </c>
      <c r="AX10" s="241"/>
      <c r="AY10" s="241"/>
      <c r="AZ10" s="241"/>
    </row>
    <row r="11" ht="13.5" customHeight="1">
      <c r="A11" s="241"/>
      <c r="B11" s="246"/>
      <c r="C11" s="261"/>
      <c r="D11" s="261"/>
      <c r="E11" s="261"/>
      <c r="F11" s="261"/>
      <c r="G11" s="261"/>
      <c r="H11" s="261"/>
      <c r="I11" s="261"/>
      <c r="J11" s="248">
        <v>61.329471869730014</v>
      </c>
      <c r="K11" s="249">
        <v>-3.4284591520324934</v>
      </c>
      <c r="L11" s="249">
        <v>-3.457114795733877</v>
      </c>
      <c r="M11" s="250">
        <v>3.6887690023222413</v>
      </c>
      <c r="N11" s="248">
        <v>61.329471869730014</v>
      </c>
      <c r="O11" s="249">
        <v>-3.4284591520324934</v>
      </c>
      <c r="P11" s="249">
        <v>-3.457114795733877</v>
      </c>
      <c r="Q11" s="250">
        <v>3.6887690023222413</v>
      </c>
      <c r="R11" s="248">
        <v>61.329471869730014</v>
      </c>
      <c r="S11" s="249">
        <v>-3.4284591520324934</v>
      </c>
      <c r="T11" s="249">
        <v>-3.457114795733877</v>
      </c>
      <c r="U11" s="250">
        <v>3.6887690023222413</v>
      </c>
      <c r="V11" s="248">
        <v>61.329471869730014</v>
      </c>
      <c r="W11" s="249">
        <v>-3.4284591520324934</v>
      </c>
      <c r="X11" s="249">
        <v>-3.457114795733877</v>
      </c>
      <c r="Y11" s="250">
        <v>3.6887690023222413</v>
      </c>
      <c r="Z11" s="248">
        <v>61.329471869730014</v>
      </c>
      <c r="AA11" s="249">
        <v>-3.4284591520324934</v>
      </c>
      <c r="AB11" s="249">
        <v>-3.457114795733877</v>
      </c>
      <c r="AC11" s="250">
        <v>3.6887690023222413</v>
      </c>
      <c r="AD11" s="248">
        <v>61.329471869730014</v>
      </c>
      <c r="AE11" s="249">
        <v>-3.4284591520324934</v>
      </c>
      <c r="AF11" s="249">
        <v>-3.457114795733877</v>
      </c>
      <c r="AG11" s="250">
        <v>3.6887690023222413</v>
      </c>
      <c r="AH11" s="248">
        <v>61.329471869730014</v>
      </c>
      <c r="AI11" s="249">
        <v>-3.4284591520324934</v>
      </c>
      <c r="AJ11" s="249">
        <v>-3.457114795733877</v>
      </c>
      <c r="AK11" s="250">
        <v>3.6887690023222413</v>
      </c>
      <c r="AL11" s="248">
        <v>61.329471869730014</v>
      </c>
      <c r="AM11" s="249">
        <v>-3.4284591520324934</v>
      </c>
      <c r="AN11" s="249">
        <v>-3.457114795733877</v>
      </c>
      <c r="AO11" s="250">
        <v>3.6887690023222413</v>
      </c>
      <c r="AP11" s="267">
        <v>61.329471869730014</v>
      </c>
      <c r="AQ11" s="268">
        <v>-3.4284591520324934</v>
      </c>
      <c r="AR11" s="268">
        <v>-3.457114795733877</v>
      </c>
      <c r="AS11" s="269">
        <v>3.6887690023222413</v>
      </c>
      <c r="AT11" s="248">
        <v>61.329471869730014</v>
      </c>
      <c r="AU11" s="249">
        <v>-3.4284591520324934</v>
      </c>
      <c r="AV11" s="249">
        <v>-3.457114795733877</v>
      </c>
      <c r="AW11" s="250">
        <v>3.6887690023222413</v>
      </c>
      <c r="AX11" s="241"/>
      <c r="AY11" s="241"/>
      <c r="AZ11" s="241"/>
    </row>
    <row r="12" ht="13.5" hidden="1" customHeight="1">
      <c r="A12" s="241"/>
      <c r="B12" s="246"/>
      <c r="C12" s="261"/>
      <c r="D12" s="261"/>
      <c r="E12" s="261"/>
      <c r="F12" s="261"/>
      <c r="G12" s="261"/>
      <c r="H12" s="261"/>
      <c r="I12" s="261"/>
      <c r="J12" s="253">
        <v>3.4284591520324934</v>
      </c>
      <c r="K12" s="254">
        <v>61.329471869730014</v>
      </c>
      <c r="L12" s="254">
        <v>-3.6887690023222413</v>
      </c>
      <c r="M12" s="255">
        <v>-3.457114795733877</v>
      </c>
      <c r="N12" s="253">
        <v>3.4284591520324934</v>
      </c>
      <c r="O12" s="254">
        <v>61.329471869730014</v>
      </c>
      <c r="P12" s="254">
        <v>-3.6887690023222413</v>
      </c>
      <c r="Q12" s="255">
        <v>-3.457114795733877</v>
      </c>
      <c r="R12" s="253">
        <v>3.4284591520324934</v>
      </c>
      <c r="S12" s="254">
        <v>61.329471869730014</v>
      </c>
      <c r="T12" s="254">
        <v>-3.6887690023222413</v>
      </c>
      <c r="U12" s="255">
        <v>-3.457114795733877</v>
      </c>
      <c r="V12" s="253">
        <v>3.4284591520324934</v>
      </c>
      <c r="W12" s="254">
        <v>61.329471869730014</v>
      </c>
      <c r="X12" s="254">
        <v>-3.6887690023222413</v>
      </c>
      <c r="Y12" s="255">
        <v>-3.457114795733877</v>
      </c>
      <c r="Z12" s="253">
        <v>3.4284591520324934</v>
      </c>
      <c r="AA12" s="254">
        <v>61.329471869730014</v>
      </c>
      <c r="AB12" s="254">
        <v>-3.6887690023222413</v>
      </c>
      <c r="AC12" s="255">
        <v>-3.457114795733877</v>
      </c>
      <c r="AD12" s="253">
        <v>3.4284591520324934</v>
      </c>
      <c r="AE12" s="254">
        <v>61.329471869730014</v>
      </c>
      <c r="AF12" s="254">
        <v>-3.6887690023222413</v>
      </c>
      <c r="AG12" s="255">
        <v>-3.457114795733877</v>
      </c>
      <c r="AH12" s="253">
        <v>3.4284591520324934</v>
      </c>
      <c r="AI12" s="254">
        <v>61.329471869730014</v>
      </c>
      <c r="AJ12" s="254">
        <v>-3.6887690023222413</v>
      </c>
      <c r="AK12" s="255">
        <v>-3.457114795733877</v>
      </c>
      <c r="AL12" s="253">
        <v>3.4284591520324934</v>
      </c>
      <c r="AM12" s="254">
        <v>61.329471869730014</v>
      </c>
      <c r="AN12" s="254">
        <v>-3.6887690023222413</v>
      </c>
      <c r="AO12" s="255">
        <v>-3.457114795733877</v>
      </c>
      <c r="AP12" s="270">
        <v>3.4284591520324934</v>
      </c>
      <c r="AQ12" s="271">
        <v>61.329471869730014</v>
      </c>
      <c r="AR12" s="271">
        <v>-3.6887690023222413</v>
      </c>
      <c r="AS12" s="272">
        <v>-3.457114795733877</v>
      </c>
      <c r="AT12" s="253">
        <v>3.4284591520324934</v>
      </c>
      <c r="AU12" s="254">
        <v>61.329471869730014</v>
      </c>
      <c r="AV12" s="254">
        <v>-3.6887690023222413</v>
      </c>
      <c r="AW12" s="255">
        <v>-3.457114795733877</v>
      </c>
      <c r="AX12" s="241"/>
      <c r="AY12" s="241"/>
      <c r="AZ12" s="241"/>
    </row>
    <row r="13" ht="15.0" customHeight="1">
      <c r="A13" s="241"/>
      <c r="B13" s="246"/>
      <c r="C13" s="261"/>
      <c r="D13" s="261"/>
      <c r="E13" s="261"/>
      <c r="F13" s="245" t="s">
        <v>266</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f t="array" ref="F14:I17">MMULT(AT9:AW12,D3:G6)</f>
        <v>-5.880123565</v>
      </c>
      <c r="G14" s="268">
        <v>3.821754763276687</v>
      </c>
      <c r="H14" s="268">
        <v>1.1163586383541038</v>
      </c>
      <c r="I14" s="269">
        <v>-1.212273385293552</v>
      </c>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v>-3.821754763276687</v>
      </c>
      <c r="G15" s="268">
        <v>-5.880123564859714</v>
      </c>
      <c r="H15" s="268">
        <v>1.212273385293552</v>
      </c>
      <c r="I15" s="269">
        <v>1.116358638354104</v>
      </c>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v>61.329471869730014</v>
      </c>
      <c r="G16" s="268">
        <v>-3.4284591520324934</v>
      </c>
      <c r="H16" s="268">
        <v>-13.883125013587978</v>
      </c>
      <c r="I16" s="269">
        <v>4.271607058167765</v>
      </c>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v>3.4284591520324934</v>
      </c>
      <c r="G17" s="271">
        <v>61.329471869730014</v>
      </c>
      <c r="H17" s="271">
        <v>-4.271607058167765</v>
      </c>
      <c r="I17" s="272">
        <v>-13.883125013587978</v>
      </c>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267</v>
      </c>
      <c r="C19" s="278"/>
      <c r="D19" s="273"/>
      <c r="E19" s="274"/>
      <c r="F19" s="245" t="s">
        <v>268</v>
      </c>
      <c r="G19" s="119"/>
      <c r="H19" s="119"/>
      <c r="I19" s="120"/>
      <c r="J19" s="245" t="s">
        <v>269</v>
      </c>
      <c r="K19" s="119"/>
      <c r="L19" s="119"/>
      <c r="M19" s="120"/>
      <c r="N19" s="245" t="s">
        <v>270</v>
      </c>
      <c r="O19" s="119"/>
      <c r="P19" s="119"/>
      <c r="Q19" s="120"/>
      <c r="R19" s="245" t="s">
        <v>271</v>
      </c>
      <c r="S19" s="119"/>
      <c r="T19" s="119"/>
      <c r="U19" s="120"/>
      <c r="V19" s="245" t="s">
        <v>272</v>
      </c>
      <c r="W19" s="119"/>
      <c r="X19" s="119"/>
      <c r="Y19" s="120"/>
      <c r="Z19" s="245" t="s">
        <v>273</v>
      </c>
      <c r="AA19" s="119"/>
      <c r="AB19" s="119"/>
      <c r="AC19" s="120"/>
      <c r="AD19" s="245" t="s">
        <v>274</v>
      </c>
      <c r="AE19" s="119"/>
      <c r="AF19" s="119"/>
      <c r="AG19" s="120"/>
      <c r="AH19" s="245" t="s">
        <v>275</v>
      </c>
      <c r="AI19" s="119"/>
      <c r="AJ19" s="119"/>
      <c r="AK19" s="120"/>
      <c r="AL19" s="245" t="s">
        <v>276</v>
      </c>
      <c r="AM19" s="119"/>
      <c r="AN19" s="119"/>
      <c r="AO19" s="120"/>
      <c r="AP19" s="245" t="s">
        <v>277</v>
      </c>
      <c r="AQ19" s="119"/>
      <c r="AR19" s="119"/>
      <c r="AS19" s="120"/>
      <c r="AT19" s="278"/>
      <c r="AU19" s="273"/>
      <c r="AV19" s="273"/>
      <c r="AW19" s="274"/>
      <c r="AX19" s="241"/>
      <c r="AY19" s="241"/>
      <c r="AZ19" s="241"/>
    </row>
    <row r="20" ht="12.75" customHeight="1">
      <c r="A20" s="241"/>
      <c r="B20" s="246"/>
      <c r="C20" s="261"/>
      <c r="D20" s="261"/>
      <c r="E20" s="261"/>
      <c r="F20" s="248">
        <f t="array" ref="F20:I23">MMULT(D3:G6,J20:M23)</f>
        <v>-13.88312501</v>
      </c>
      <c r="G20" s="249">
        <v>4.271607058167765</v>
      </c>
      <c r="H20" s="249">
        <v>0.5610336378105848</v>
      </c>
      <c r="I20" s="250">
        <v>-1.0414091029668417</v>
      </c>
      <c r="J20" s="267">
        <f t="array" ref="J20:M23">MMULT(H3:K6,N20:Q23)</f>
        <v>-3.457114796</v>
      </c>
      <c r="K20" s="268">
        <v>3.688769002322241</v>
      </c>
      <c r="L20" s="268">
        <v>-0.02154695950140244</v>
      </c>
      <c r="M20" s="269">
        <v>-0.41502431544362567</v>
      </c>
      <c r="N20" s="248">
        <f t="array" ref="N20:Q23">MMULT(L3:O6,R20:U23)</f>
        <v>-2.869625773</v>
      </c>
      <c r="O20" s="249">
        <v>3.6316042023188815</v>
      </c>
      <c r="P20" s="249">
        <v>-0.05298693004262435</v>
      </c>
      <c r="Q20" s="250">
        <v>-0.3784064117835674</v>
      </c>
      <c r="R20" s="248">
        <f t="array" ref="R20:U23">MMULT(P3:S6,V20:Y23)</f>
        <v>1</v>
      </c>
      <c r="S20" s="249">
        <v>0.0</v>
      </c>
      <c r="T20" s="249">
        <v>0.0</v>
      </c>
      <c r="U20" s="250">
        <v>0.0</v>
      </c>
      <c r="V20" s="248">
        <f t="array" ref="V20:Y23">MMULT(T3:W6,Z20:AC23)</f>
        <v>1</v>
      </c>
      <c r="W20" s="249">
        <v>0.0</v>
      </c>
      <c r="X20" s="249">
        <v>0.0</v>
      </c>
      <c r="Y20" s="250">
        <v>0.0</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v>-4.271607058167765</v>
      </c>
      <c r="G21" s="249">
        <v>-13.883125013587978</v>
      </c>
      <c r="H21" s="249">
        <v>1.0414091029668417</v>
      </c>
      <c r="I21" s="250">
        <v>0.5610336378105848</v>
      </c>
      <c r="J21" s="267">
        <v>-3.688769002322241</v>
      </c>
      <c r="K21" s="268">
        <v>-3.457114795733877</v>
      </c>
      <c r="L21" s="268">
        <v>0.41502431544362567</v>
      </c>
      <c r="M21" s="269">
        <v>-0.02154695950140244</v>
      </c>
      <c r="N21" s="248">
        <v>-3.6316042023188815</v>
      </c>
      <c r="O21" s="249">
        <v>-2.8696257731604002</v>
      </c>
      <c r="P21" s="249">
        <v>0.3784064117835674</v>
      </c>
      <c r="Q21" s="250">
        <v>-0.05298693004262435</v>
      </c>
      <c r="R21" s="248">
        <v>0.0</v>
      </c>
      <c r="S21" s="249">
        <v>1.0</v>
      </c>
      <c r="T21" s="249">
        <v>0.0</v>
      </c>
      <c r="U21" s="250">
        <v>0.0</v>
      </c>
      <c r="V21" s="248">
        <v>0.0</v>
      </c>
      <c r="W21" s="249">
        <v>1.0</v>
      </c>
      <c r="X21" s="249">
        <v>0.0</v>
      </c>
      <c r="Y21" s="250">
        <v>0.0</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v>61.329471869730014</v>
      </c>
      <c r="G22" s="249">
        <v>-3.428459152032494</v>
      </c>
      <c r="H22" s="249">
        <v>-3.4269446900705125</v>
      </c>
      <c r="I22" s="250">
        <v>3.684616397195388</v>
      </c>
      <c r="J22" s="267">
        <v>61.329471869730014</v>
      </c>
      <c r="K22" s="268">
        <v>-3.428459152032494</v>
      </c>
      <c r="L22" s="268">
        <v>-3.4269446900705125</v>
      </c>
      <c r="M22" s="269">
        <v>3.684616397195388</v>
      </c>
      <c r="N22" s="248">
        <v>56.18175085369465</v>
      </c>
      <c r="O22" s="249">
        <v>-7.866934622290519</v>
      </c>
      <c r="P22" s="249">
        <v>-2.8696257731604002</v>
      </c>
      <c r="Q22" s="250">
        <v>3.6316042023188815</v>
      </c>
      <c r="R22" s="248">
        <v>0.0</v>
      </c>
      <c r="S22" s="249">
        <v>0.0</v>
      </c>
      <c r="T22" s="249">
        <v>1.0</v>
      </c>
      <c r="U22" s="250">
        <v>0.0</v>
      </c>
      <c r="V22" s="248">
        <v>0.0</v>
      </c>
      <c r="W22" s="249">
        <v>0.0</v>
      </c>
      <c r="X22" s="249">
        <v>1.0</v>
      </c>
      <c r="Y22" s="250">
        <v>0.0</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v>3.4284591520324934</v>
      </c>
      <c r="G23" s="254">
        <v>61.329471869730014</v>
      </c>
      <c r="H23" s="254">
        <v>-3.684616397195388</v>
      </c>
      <c r="I23" s="255">
        <v>-3.4269446900705125</v>
      </c>
      <c r="J23" s="270">
        <v>3.4284591520324934</v>
      </c>
      <c r="K23" s="271">
        <v>61.329471869730014</v>
      </c>
      <c r="L23" s="271">
        <v>-3.684616397195388</v>
      </c>
      <c r="M23" s="272">
        <v>-3.4269446900705125</v>
      </c>
      <c r="N23" s="253">
        <v>7.866934622290519</v>
      </c>
      <c r="O23" s="254">
        <v>56.18175085369465</v>
      </c>
      <c r="P23" s="254">
        <v>-3.6316042023188815</v>
      </c>
      <c r="Q23" s="255">
        <v>-2.8696257731604002</v>
      </c>
      <c r="R23" s="253">
        <v>0.0</v>
      </c>
      <c r="S23" s="254">
        <v>0.0</v>
      </c>
      <c r="T23" s="254">
        <v>0.0</v>
      </c>
      <c r="U23" s="255">
        <v>1.0</v>
      </c>
      <c r="V23" s="253">
        <v>0.0</v>
      </c>
      <c r="W23" s="254">
        <v>0.0</v>
      </c>
      <c r="X23" s="254">
        <v>0.0</v>
      </c>
      <c r="Y23" s="255">
        <v>1.0</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278</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f t="array" ref="AT25:AW28">MMULT(F20:I23,AV3:AY6)</f>
        <v>-13.88312501</v>
      </c>
      <c r="AU25" s="268">
        <v>4.271607058167765</v>
      </c>
      <c r="AV25" s="268">
        <v>1.116358638354104</v>
      </c>
      <c r="AW25" s="269">
        <v>-1.2122733852935523</v>
      </c>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v>-4.271607058167765</v>
      </c>
      <c r="AU26" s="268">
        <v>-13.883125013587978</v>
      </c>
      <c r="AV26" s="268">
        <v>1.2122733852935523</v>
      </c>
      <c r="AW26" s="269">
        <v>1.116358638354104</v>
      </c>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v>61.329471869730014</v>
      </c>
      <c r="AU27" s="268">
        <v>-3.428459152032494</v>
      </c>
      <c r="AV27" s="268">
        <v>-5.880123564859713</v>
      </c>
      <c r="AW27" s="269">
        <v>3.8217547632766875</v>
      </c>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v>3.4284591520324934</v>
      </c>
      <c r="AU28" s="271">
        <v>61.329471869730014</v>
      </c>
      <c r="AV28" s="271">
        <v>-3.8217547632766875</v>
      </c>
      <c r="AW28" s="272">
        <v>-5.880123564859713</v>
      </c>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279</v>
      </c>
      <c r="C2" s="283" t="s">
        <v>280</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281</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282</v>
      </c>
      <c r="F5" s="287" t="s">
        <v>283</v>
      </c>
      <c r="G5" s="287" t="s">
        <v>284</v>
      </c>
      <c r="H5" s="287" t="s">
        <v>285</v>
      </c>
      <c r="I5" s="287" t="s">
        <v>286</v>
      </c>
      <c r="J5" s="287" t="s">
        <v>287</v>
      </c>
      <c r="K5" s="287" t="s">
        <v>288</v>
      </c>
      <c r="L5" s="287" t="s">
        <v>289</v>
      </c>
      <c r="M5" s="287" t="s">
        <v>290</v>
      </c>
      <c r="N5" s="287" t="s">
        <v>291</v>
      </c>
      <c r="O5" s="287" t="s">
        <v>292</v>
      </c>
      <c r="P5" s="288" t="s">
        <v>293</v>
      </c>
      <c r="Q5" s="282"/>
      <c r="R5" s="282"/>
      <c r="S5" s="282"/>
      <c r="T5" s="282"/>
      <c r="U5" s="282"/>
      <c r="V5" s="282"/>
      <c r="W5" s="282"/>
      <c r="X5" s="282"/>
      <c r="Y5" s="282"/>
      <c r="Z5" s="282"/>
    </row>
    <row r="6" ht="19.5" customHeight="1">
      <c r="A6" s="282"/>
      <c r="B6" s="289" t="s">
        <v>294</v>
      </c>
      <c r="C6" s="290" t="s">
        <v>295</v>
      </c>
      <c r="D6" s="291" t="s">
        <v>296</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297</v>
      </c>
      <c r="C7" s="296" t="s">
        <v>298</v>
      </c>
      <c r="D7" s="297" t="s">
        <v>299</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300</v>
      </c>
      <c r="C8" s="302" t="s">
        <v>301</v>
      </c>
      <c r="D8" s="303" t="s">
        <v>302</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303</v>
      </c>
      <c r="C9" s="290" t="s">
        <v>304</v>
      </c>
      <c r="D9" s="291" t="s">
        <v>296</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305</v>
      </c>
      <c r="C10" s="307" t="s">
        <v>306</v>
      </c>
      <c r="D10" s="297" t="s">
        <v>299</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307</v>
      </c>
      <c r="S10" s="282"/>
      <c r="T10" s="282"/>
      <c r="U10" s="282"/>
      <c r="V10" s="282"/>
      <c r="W10" s="282"/>
      <c r="X10" s="282"/>
      <c r="Y10" s="282"/>
      <c r="Z10" s="282"/>
    </row>
    <row r="11" ht="19.5" customHeight="1">
      <c r="A11" s="282"/>
      <c r="B11" s="295" t="s">
        <v>308</v>
      </c>
      <c r="C11" s="296" t="s">
        <v>309</v>
      </c>
      <c r="D11" s="297" t="s">
        <v>299</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310</v>
      </c>
      <c r="C12" s="302" t="s">
        <v>311</v>
      </c>
      <c r="D12" s="303" t="s">
        <v>302</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312</v>
      </c>
      <c r="C13" s="290" t="s">
        <v>313</v>
      </c>
      <c r="D13" s="291" t="s">
        <v>296</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314</v>
      </c>
      <c r="C14" s="302" t="s">
        <v>315</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316</v>
      </c>
      <c r="C15" s="302" t="s">
        <v>317</v>
      </c>
      <c r="D15" s="303" t="s">
        <v>318</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319</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282</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282</v>
      </c>
      <c r="L3" s="119"/>
      <c r="M3" s="119"/>
      <c r="N3" s="119"/>
      <c r="O3" s="119"/>
      <c r="P3" s="119"/>
      <c r="Q3" s="120"/>
      <c r="R3" s="321" t="s">
        <v>283</v>
      </c>
      <c r="S3" s="119"/>
      <c r="T3" s="119"/>
      <c r="U3" s="119"/>
      <c r="V3" s="119"/>
      <c r="W3" s="119"/>
      <c r="X3" s="120"/>
      <c r="Y3" s="321" t="s">
        <v>284</v>
      </c>
      <c r="Z3" s="119"/>
      <c r="AA3" s="119"/>
      <c r="AB3" s="119"/>
      <c r="AC3" s="119"/>
      <c r="AD3" s="119"/>
      <c r="AE3" s="120"/>
      <c r="AF3" s="321" t="s">
        <v>285</v>
      </c>
      <c r="AG3" s="119"/>
      <c r="AH3" s="119"/>
      <c r="AI3" s="119"/>
      <c r="AJ3" s="119"/>
      <c r="AK3" s="119"/>
      <c r="AL3" s="120"/>
      <c r="AM3" s="321" t="s">
        <v>286</v>
      </c>
      <c r="AN3" s="119"/>
      <c r="AO3" s="119"/>
      <c r="AP3" s="119"/>
      <c r="AQ3" s="119"/>
      <c r="AR3" s="119"/>
      <c r="AS3" s="120"/>
      <c r="AT3" s="321" t="s">
        <v>287</v>
      </c>
      <c r="AU3" s="119"/>
      <c r="AV3" s="119"/>
      <c r="AW3" s="119"/>
      <c r="AX3" s="119"/>
      <c r="AY3" s="119"/>
      <c r="AZ3" s="120"/>
      <c r="BA3" s="321" t="s">
        <v>288</v>
      </c>
      <c r="BB3" s="119"/>
      <c r="BC3" s="119"/>
      <c r="BD3" s="119"/>
      <c r="BE3" s="119"/>
      <c r="BF3" s="119"/>
      <c r="BG3" s="120"/>
      <c r="BH3" s="321" t="s">
        <v>289</v>
      </c>
      <c r="BI3" s="119"/>
      <c r="BJ3" s="119"/>
      <c r="BK3" s="119"/>
      <c r="BL3" s="119"/>
      <c r="BM3" s="119"/>
      <c r="BN3" s="120"/>
      <c r="BO3" s="321" t="s">
        <v>290</v>
      </c>
      <c r="BP3" s="119"/>
      <c r="BQ3" s="119"/>
      <c r="BR3" s="119"/>
      <c r="BS3" s="119"/>
      <c r="BT3" s="119"/>
      <c r="BU3" s="120"/>
      <c r="BV3" s="321" t="s">
        <v>291</v>
      </c>
      <c r="BW3" s="119"/>
      <c r="BX3" s="119"/>
      <c r="BY3" s="119"/>
      <c r="BZ3" s="119"/>
      <c r="CA3" s="119"/>
      <c r="CB3" s="120"/>
      <c r="CC3" s="321" t="s">
        <v>292</v>
      </c>
      <c r="CD3" s="119"/>
      <c r="CE3" s="119"/>
      <c r="CF3" s="119"/>
      <c r="CG3" s="119"/>
      <c r="CH3" s="119"/>
      <c r="CI3" s="120"/>
      <c r="CJ3" s="321" t="s">
        <v>293</v>
      </c>
      <c r="CK3" s="119"/>
      <c r="CL3" s="119"/>
      <c r="CM3" s="119"/>
      <c r="CN3" s="119"/>
      <c r="CO3" s="119"/>
      <c r="CP3" s="120"/>
    </row>
    <row r="4" ht="18.0" customHeight="1">
      <c r="A4" s="322" t="s">
        <v>12</v>
      </c>
      <c r="B4" s="25"/>
      <c r="C4" s="283" t="s">
        <v>71</v>
      </c>
      <c r="D4" s="322" t="s">
        <v>72</v>
      </c>
      <c r="E4" s="120"/>
      <c r="F4" s="322" t="s">
        <v>320</v>
      </c>
      <c r="G4" s="120"/>
      <c r="H4" s="282"/>
      <c r="I4" s="282"/>
      <c r="J4" s="323" t="s">
        <v>321</v>
      </c>
      <c r="K4" s="324" t="s">
        <v>322</v>
      </c>
      <c r="L4" s="325" t="s">
        <v>323</v>
      </c>
      <c r="M4" s="326" t="s">
        <v>324</v>
      </c>
      <c r="N4" s="326" t="s">
        <v>325</v>
      </c>
      <c r="O4" s="326" t="s">
        <v>325</v>
      </c>
      <c r="P4" s="326" t="s">
        <v>326</v>
      </c>
      <c r="Q4" s="297" t="s">
        <v>327</v>
      </c>
      <c r="R4" s="324" t="s">
        <v>322</v>
      </c>
      <c r="S4" s="325" t="s">
        <v>328</v>
      </c>
      <c r="T4" s="326" t="s">
        <v>324</v>
      </c>
      <c r="U4" s="326" t="s">
        <v>325</v>
      </c>
      <c r="V4" s="326" t="s">
        <v>325</v>
      </c>
      <c r="W4" s="326" t="s">
        <v>329</v>
      </c>
      <c r="X4" s="297" t="s">
        <v>327</v>
      </c>
      <c r="Y4" s="324" t="s">
        <v>322</v>
      </c>
      <c r="Z4" s="325" t="s">
        <v>330</v>
      </c>
      <c r="AA4" s="326" t="s">
        <v>324</v>
      </c>
      <c r="AB4" s="326" t="s">
        <v>325</v>
      </c>
      <c r="AC4" s="326" t="s">
        <v>325</v>
      </c>
      <c r="AD4" s="326" t="s">
        <v>331</v>
      </c>
      <c r="AE4" s="297" t="s">
        <v>327</v>
      </c>
      <c r="AF4" s="324" t="s">
        <v>322</v>
      </c>
      <c r="AG4" s="325" t="s">
        <v>332</v>
      </c>
      <c r="AH4" s="326" t="s">
        <v>324</v>
      </c>
      <c r="AI4" s="326" t="s">
        <v>325</v>
      </c>
      <c r="AJ4" s="326" t="s">
        <v>325</v>
      </c>
      <c r="AK4" s="326" t="s">
        <v>333</v>
      </c>
      <c r="AL4" s="297" t="s">
        <v>327</v>
      </c>
      <c r="AM4" s="324" t="s">
        <v>322</v>
      </c>
      <c r="AN4" s="325" t="s">
        <v>334</v>
      </c>
      <c r="AO4" s="326" t="s">
        <v>324</v>
      </c>
      <c r="AP4" s="326" t="s">
        <v>325</v>
      </c>
      <c r="AQ4" s="326" t="s">
        <v>325</v>
      </c>
      <c r="AR4" s="326" t="s">
        <v>335</v>
      </c>
      <c r="AS4" s="297" t="s">
        <v>327</v>
      </c>
      <c r="AT4" s="324" t="s">
        <v>322</v>
      </c>
      <c r="AU4" s="325" t="s">
        <v>336</v>
      </c>
      <c r="AV4" s="326" t="s">
        <v>324</v>
      </c>
      <c r="AW4" s="326" t="s">
        <v>325</v>
      </c>
      <c r="AX4" s="326" t="s">
        <v>325</v>
      </c>
      <c r="AY4" s="326" t="s">
        <v>337</v>
      </c>
      <c r="AZ4" s="297" t="s">
        <v>327</v>
      </c>
      <c r="BA4" s="324" t="s">
        <v>322</v>
      </c>
      <c r="BB4" s="325" t="s">
        <v>338</v>
      </c>
      <c r="BC4" s="326" t="s">
        <v>324</v>
      </c>
      <c r="BD4" s="326" t="s">
        <v>325</v>
      </c>
      <c r="BE4" s="326" t="s">
        <v>325</v>
      </c>
      <c r="BF4" s="326" t="s">
        <v>339</v>
      </c>
      <c r="BG4" s="297" t="s">
        <v>327</v>
      </c>
      <c r="BH4" s="324" t="s">
        <v>322</v>
      </c>
      <c r="BI4" s="325" t="s">
        <v>340</v>
      </c>
      <c r="BJ4" s="326" t="s">
        <v>324</v>
      </c>
      <c r="BK4" s="326" t="s">
        <v>325</v>
      </c>
      <c r="BL4" s="326" t="s">
        <v>325</v>
      </c>
      <c r="BM4" s="326" t="s">
        <v>341</v>
      </c>
      <c r="BN4" s="297" t="s">
        <v>327</v>
      </c>
      <c r="BO4" s="324" t="s">
        <v>322</v>
      </c>
      <c r="BP4" s="325" t="s">
        <v>342</v>
      </c>
      <c r="BQ4" s="326" t="s">
        <v>324</v>
      </c>
      <c r="BR4" s="326" t="s">
        <v>325</v>
      </c>
      <c r="BS4" s="326" t="s">
        <v>325</v>
      </c>
      <c r="BT4" s="326" t="s">
        <v>343</v>
      </c>
      <c r="BU4" s="297" t="s">
        <v>327</v>
      </c>
      <c r="BV4" s="324" t="s">
        <v>322</v>
      </c>
      <c r="BW4" s="325" t="s">
        <v>344</v>
      </c>
      <c r="BX4" s="326" t="s">
        <v>324</v>
      </c>
      <c r="BY4" s="326" t="s">
        <v>325</v>
      </c>
      <c r="BZ4" s="326" t="s">
        <v>325</v>
      </c>
      <c r="CA4" s="326" t="s">
        <v>345</v>
      </c>
      <c r="CB4" s="297" t="s">
        <v>327</v>
      </c>
      <c r="CC4" s="324" t="s">
        <v>322</v>
      </c>
      <c r="CD4" s="325" t="s">
        <v>346</v>
      </c>
      <c r="CE4" s="326" t="s">
        <v>324</v>
      </c>
      <c r="CF4" s="326" t="s">
        <v>325</v>
      </c>
      <c r="CG4" s="326" t="s">
        <v>325</v>
      </c>
      <c r="CH4" s="326" t="s">
        <v>347</v>
      </c>
      <c r="CI4" s="297" t="s">
        <v>327</v>
      </c>
      <c r="CJ4" s="324" t="s">
        <v>322</v>
      </c>
      <c r="CK4" s="325" t="s">
        <v>348</v>
      </c>
      <c r="CL4" s="326" t="s">
        <v>324</v>
      </c>
      <c r="CM4" s="326" t="s">
        <v>325</v>
      </c>
      <c r="CN4" s="326" t="s">
        <v>325</v>
      </c>
      <c r="CO4" s="326" t="s">
        <v>349</v>
      </c>
      <c r="CP4" s="297" t="s">
        <v>327</v>
      </c>
    </row>
    <row r="5" ht="15.75" customHeight="1">
      <c r="A5" s="327"/>
      <c r="B5" s="125"/>
      <c r="C5" s="328" t="s">
        <v>13</v>
      </c>
      <c r="D5" s="329" t="s">
        <v>15</v>
      </c>
      <c r="E5" s="330" t="s">
        <v>17</v>
      </c>
      <c r="F5" s="331" t="s">
        <v>350</v>
      </c>
      <c r="G5" s="297" t="s">
        <v>18</v>
      </c>
      <c r="H5" s="282"/>
      <c r="I5" s="282"/>
      <c r="J5" s="332" t="s">
        <v>96</v>
      </c>
      <c r="K5" s="333" t="s">
        <v>296</v>
      </c>
      <c r="L5" s="334" t="s">
        <v>299</v>
      </c>
      <c r="M5" s="334" t="s">
        <v>299</v>
      </c>
      <c r="N5" s="334"/>
      <c r="O5" s="334"/>
      <c r="P5" s="334" t="s">
        <v>299</v>
      </c>
      <c r="Q5" s="303" t="s">
        <v>351</v>
      </c>
      <c r="R5" s="333" t="s">
        <v>296</v>
      </c>
      <c r="S5" s="334" t="s">
        <v>299</v>
      </c>
      <c r="T5" s="334" t="s">
        <v>299</v>
      </c>
      <c r="U5" s="334"/>
      <c r="V5" s="334"/>
      <c r="W5" s="334" t="s">
        <v>299</v>
      </c>
      <c r="X5" s="303" t="s">
        <v>352</v>
      </c>
      <c r="Y5" s="333" t="s">
        <v>296</v>
      </c>
      <c r="Z5" s="334" t="s">
        <v>299</v>
      </c>
      <c r="AA5" s="334" t="s">
        <v>299</v>
      </c>
      <c r="AB5" s="334"/>
      <c r="AC5" s="334"/>
      <c r="AD5" s="334" t="s">
        <v>299</v>
      </c>
      <c r="AE5" s="303" t="s">
        <v>353</v>
      </c>
      <c r="AF5" s="333" t="s">
        <v>296</v>
      </c>
      <c r="AG5" s="334" t="s">
        <v>299</v>
      </c>
      <c r="AH5" s="334" t="s">
        <v>299</v>
      </c>
      <c r="AI5" s="334"/>
      <c r="AJ5" s="334"/>
      <c r="AK5" s="334" t="s">
        <v>299</v>
      </c>
      <c r="AL5" s="303" t="s">
        <v>354</v>
      </c>
      <c r="AM5" s="333" t="s">
        <v>296</v>
      </c>
      <c r="AN5" s="334" t="s">
        <v>299</v>
      </c>
      <c r="AO5" s="334" t="s">
        <v>299</v>
      </c>
      <c r="AP5" s="334"/>
      <c r="AQ5" s="334"/>
      <c r="AR5" s="334" t="s">
        <v>299</v>
      </c>
      <c r="AS5" s="303" t="s">
        <v>355</v>
      </c>
      <c r="AT5" s="333" t="s">
        <v>296</v>
      </c>
      <c r="AU5" s="334" t="s">
        <v>299</v>
      </c>
      <c r="AV5" s="334" t="s">
        <v>299</v>
      </c>
      <c r="AW5" s="334"/>
      <c r="AX5" s="334"/>
      <c r="AY5" s="334" t="s">
        <v>299</v>
      </c>
      <c r="AZ5" s="303" t="s">
        <v>356</v>
      </c>
      <c r="BA5" s="333" t="s">
        <v>296</v>
      </c>
      <c r="BB5" s="334" t="s">
        <v>299</v>
      </c>
      <c r="BC5" s="334" t="s">
        <v>299</v>
      </c>
      <c r="BD5" s="334"/>
      <c r="BE5" s="334"/>
      <c r="BF5" s="334" t="s">
        <v>299</v>
      </c>
      <c r="BG5" s="303" t="s">
        <v>357</v>
      </c>
      <c r="BH5" s="333" t="s">
        <v>296</v>
      </c>
      <c r="BI5" s="334" t="s">
        <v>299</v>
      </c>
      <c r="BJ5" s="334" t="s">
        <v>299</v>
      </c>
      <c r="BK5" s="334"/>
      <c r="BL5" s="334"/>
      <c r="BM5" s="334" t="s">
        <v>299</v>
      </c>
      <c r="BN5" s="303" t="s">
        <v>358</v>
      </c>
      <c r="BO5" s="333" t="s">
        <v>296</v>
      </c>
      <c r="BP5" s="334" t="s">
        <v>299</v>
      </c>
      <c r="BQ5" s="334" t="s">
        <v>299</v>
      </c>
      <c r="BR5" s="334"/>
      <c r="BS5" s="334"/>
      <c r="BT5" s="334" t="s">
        <v>299</v>
      </c>
      <c r="BU5" s="303" t="s">
        <v>359</v>
      </c>
      <c r="BV5" s="333" t="s">
        <v>296</v>
      </c>
      <c r="BW5" s="334" t="s">
        <v>299</v>
      </c>
      <c r="BX5" s="334" t="s">
        <v>299</v>
      </c>
      <c r="BY5" s="334"/>
      <c r="BZ5" s="334"/>
      <c r="CA5" s="334" t="s">
        <v>299</v>
      </c>
      <c r="CB5" s="303" t="s">
        <v>360</v>
      </c>
      <c r="CC5" s="333" t="s">
        <v>296</v>
      </c>
      <c r="CD5" s="334" t="s">
        <v>299</v>
      </c>
      <c r="CE5" s="334" t="s">
        <v>299</v>
      </c>
      <c r="CF5" s="334"/>
      <c r="CG5" s="334"/>
      <c r="CH5" s="334" t="s">
        <v>299</v>
      </c>
      <c r="CI5" s="303" t="s">
        <v>361</v>
      </c>
      <c r="CJ5" s="333" t="s">
        <v>296</v>
      </c>
      <c r="CK5" s="334" t="s">
        <v>299</v>
      </c>
      <c r="CL5" s="334" t="s">
        <v>299</v>
      </c>
      <c r="CM5" s="334"/>
      <c r="CN5" s="334"/>
      <c r="CO5" s="334" t="s">
        <v>299</v>
      </c>
      <c r="CP5" s="303" t="s">
        <v>362</v>
      </c>
    </row>
    <row r="6" ht="15.75" customHeight="1">
      <c r="A6" s="335" t="s">
        <v>22</v>
      </c>
      <c r="B6" s="35"/>
      <c r="C6" s="336" t="s">
        <v>23</v>
      </c>
      <c r="D6" s="337" t="s">
        <v>25</v>
      </c>
      <c r="E6" s="303" t="s">
        <v>27</v>
      </c>
      <c r="F6" s="333" t="s">
        <v>96</v>
      </c>
      <c r="G6" s="303" t="s">
        <v>363</v>
      </c>
      <c r="H6" s="282"/>
      <c r="I6" s="283" t="s">
        <v>364</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piastrelle</v>
      </c>
      <c r="C7" s="346">
        <f>'Calcoli componente'!C7</f>
        <v>1</v>
      </c>
      <c r="D7" s="347">
        <f>'Calcoli componente'!E7</f>
        <v>213</v>
      </c>
      <c r="E7" s="348">
        <f>'Calcoli componente'!G7</f>
        <v>1</v>
      </c>
      <c r="F7" s="349">
        <f>'Calcoli componente'!J7</f>
        <v>2.13</v>
      </c>
      <c r="G7" s="350">
        <f>'Calcoli componente'!K7</f>
        <v>0.01</v>
      </c>
      <c r="H7" s="282"/>
      <c r="I7" s="328" t="s">
        <v>365</v>
      </c>
      <c r="J7" s="351">
        <f>0</f>
        <v>0</v>
      </c>
      <c r="K7" s="352">
        <f>K6-(K$6-K$18)*0.25/$G$19</f>
        <v>11.22839506</v>
      </c>
      <c r="L7" s="309" t="str">
        <f t="shared" si="1"/>
        <v>#NAME?</v>
      </c>
      <c r="M7" s="309">
        <f>M6</f>
        <v>1389.18</v>
      </c>
      <c r="N7" s="309">
        <v>0.0</v>
      </c>
      <c r="O7" s="309" t="str">
        <f>IF(AND(N7&gt;0,N7=MAX(N$7:N$17)),1,0)</f>
        <v>#NAME?</v>
      </c>
      <c r="P7" s="309">
        <f>M7</f>
        <v>1389.18</v>
      </c>
      <c r="Q7" s="250" t="str">
        <f>0.0000000002*(P7-P8)/($J8-$J7)</f>
        <v>#NAME?</v>
      </c>
      <c r="R7" s="352">
        <f>R6-(R$6-R$18)*0.25/$G$19</f>
        <v>12.48148148</v>
      </c>
      <c r="S7" s="309" t="str">
        <f t="shared" si="2"/>
        <v>#NAME?</v>
      </c>
      <c r="T7" s="309">
        <f>T6</f>
        <v>1354.44</v>
      </c>
      <c r="U7" s="309">
        <v>0.0</v>
      </c>
      <c r="V7" s="309" t="str">
        <f>IF(AND(U7&gt;0,U7=MAX(U$7:U$17)),1,0)</f>
        <v>#NAME?</v>
      </c>
      <c r="W7" s="309">
        <f>T7</f>
        <v>1354.44</v>
      </c>
      <c r="X7" s="250" t="str">
        <f>0.0000000002*(W7-W8)/($J8-$J7)</f>
        <v>#NAME?</v>
      </c>
      <c r="Y7" s="352">
        <f>Y6-(Y$6-Y$18)*0.25/$G$19</f>
        <v>14.7191358</v>
      </c>
      <c r="Z7" s="309" t="str">
        <f t="shared" si="3"/>
        <v>#NAME?</v>
      </c>
      <c r="AA7" s="309">
        <f>AA6</f>
        <v>1108.69</v>
      </c>
      <c r="AB7" s="309">
        <v>0.0</v>
      </c>
      <c r="AC7" s="309" t="str">
        <f>IF(AND(AB7&gt;0,AB7=MAX(AB$7:AB$17)),1,0)</f>
        <v>#NAME?</v>
      </c>
      <c r="AD7" s="309">
        <f>AA7</f>
        <v>1108.69</v>
      </c>
      <c r="AE7" s="250" t="str">
        <f>0.0000000002*(AD7-AD8)/($J8-$J7)</f>
        <v>#NAME?</v>
      </c>
      <c r="AF7" s="352">
        <f>AF6-(AF$6-AF$18)*0.25/$G$19</f>
        <v>16.73302469</v>
      </c>
      <c r="AG7" s="309" t="str">
        <f t="shared" si="4"/>
        <v>#NAME?</v>
      </c>
      <c r="AH7" s="309">
        <f>AH6</f>
        <v>1129.215</v>
      </c>
      <c r="AI7" s="309">
        <v>0.0</v>
      </c>
      <c r="AJ7" s="309" t="str">
        <f>IF(AND(AI7&gt;0,AI7=MAX(AI$7:AI$17)),1,0)</f>
        <v>#NAME?</v>
      </c>
      <c r="AK7" s="309">
        <f>AH7</f>
        <v>1129.215</v>
      </c>
      <c r="AL7" s="250" t="str">
        <f>0.0000000002*(AK7-AK8)/($J8-$J7)</f>
        <v>#NAME?</v>
      </c>
      <c r="AM7" s="352">
        <f>AM6-(AM$6-AM$18)*0.25/$G$19</f>
        <v>18.52314815</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19.46296296</v>
      </c>
      <c r="BP7" s="309" t="str">
        <f t="shared" si="9"/>
        <v>#NAME?</v>
      </c>
      <c r="BQ7" s="309">
        <f>BQ6</f>
        <v>1557.46</v>
      </c>
      <c r="BR7" s="309">
        <v>0.0</v>
      </c>
      <c r="BS7" s="309" t="str">
        <f>IF(AND(BR7&gt;0,BR7=MAX(BR$7:BR$17)),1,0)</f>
        <v>#NAME?</v>
      </c>
      <c r="BT7" s="309">
        <f>BQ7</f>
        <v>1557.46</v>
      </c>
      <c r="BU7" s="250" t="str">
        <f>0.0000000002*(BT7-BT8)/($J8-$J7)</f>
        <v>#NAME?</v>
      </c>
      <c r="BV7" s="352">
        <f>BV6-(BV$6-BV$18)*0.25/$G$19</f>
        <v>16.6882716</v>
      </c>
      <c r="BW7" s="309" t="str">
        <f t="shared" si="10"/>
        <v>#NAME?</v>
      </c>
      <c r="BX7" s="309">
        <f>BX6</f>
        <v>1509.67</v>
      </c>
      <c r="BY7" s="309">
        <v>0.0</v>
      </c>
      <c r="BZ7" s="309" t="str">
        <f>IF(AND(BY7&gt;0,BY7=MAX(BY$7:BY$17)),1,0)</f>
        <v>#NAME?</v>
      </c>
      <c r="CA7" s="309">
        <f>BX7</f>
        <v>1509.67</v>
      </c>
      <c r="CB7" s="250" t="str">
        <f>0.0000000002*(CA7-CA8)/($J8-$J7)</f>
        <v>#NAME?</v>
      </c>
      <c r="CC7" s="352">
        <f>CC6-(CC$6-CC$18)*0.25/$G$19</f>
        <v>14.09259259</v>
      </c>
      <c r="CD7" s="309" t="str">
        <f t="shared" si="11"/>
        <v>#NAME?</v>
      </c>
      <c r="CE7" s="309">
        <f>CE6</f>
        <v>1429.06</v>
      </c>
      <c r="CF7" s="309">
        <v>0.0</v>
      </c>
      <c r="CG7" s="309" t="str">
        <f>IF(AND(CF7&gt;0,CF7=MAX(CF$7:CF$17)),1,0)</f>
        <v>#NAME?</v>
      </c>
      <c r="CH7" s="309">
        <f>CE7</f>
        <v>1429.06</v>
      </c>
      <c r="CI7" s="250" t="str">
        <f>0.0000000002*(CH7-CH8)/($J8-$J7)</f>
        <v>#NAME?</v>
      </c>
      <c r="CJ7" s="352">
        <f>CJ6-(CJ$6-CJ$18)*0.25/$G$19</f>
        <v>11.94444444</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cls</v>
      </c>
      <c r="C8" s="354">
        <f>'Calcoli componente'!C8</f>
        <v>30</v>
      </c>
      <c r="D8" s="308">
        <f>'Calcoli componente'!E8</f>
        <v>69</v>
      </c>
      <c r="E8" s="355">
        <f>'Calcoli componente'!G8</f>
        <v>1.16</v>
      </c>
      <c r="F8" s="356">
        <f>'Calcoli componente'!J8</f>
        <v>20.7</v>
      </c>
      <c r="G8" s="357">
        <f>'Calcoli componente'!K8</f>
        <v>0.2586206897</v>
      </c>
      <c r="H8" s="282"/>
      <c r="I8" s="328" t="s">
        <v>366</v>
      </c>
      <c r="J8" s="351">
        <f t="shared" ref="J8:J17" si="13">J7+F7</f>
        <v>2.13</v>
      </c>
      <c r="K8" s="352">
        <f t="shared" ref="K8:K17" si="14">K7-(K$6-K$18)*$G7/$G$19</f>
        <v>10.87753086</v>
      </c>
      <c r="L8" s="309" t="str">
        <f t="shared" si="1"/>
        <v>#NAME?</v>
      </c>
      <c r="M8" s="309">
        <f t="shared" ref="M8:M16" si="15">M$7-(M$7-M$17)*$J8/$F$17</f>
        <v>1307.713798</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12.18074074</v>
      </c>
      <c r="S8" s="309" t="str">
        <f t="shared" si="2"/>
        <v>#NAME?</v>
      </c>
      <c r="T8" s="309">
        <f t="shared" ref="T8:T16" si="20">T$7-(T$7-T$17)*$J8/$F$17</f>
        <v>1284.611827</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14.50790123</v>
      </c>
      <c r="Z8" s="309" t="str">
        <f t="shared" si="3"/>
        <v>#NAME?</v>
      </c>
      <c r="AA8" s="309">
        <f t="shared" ref="AA8:AA16" si="25">AA$7-(AA$7-AA$17)*$J8/$F$17</f>
        <v>1059.644021</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16.60234568</v>
      </c>
      <c r="AG8" s="309" t="str">
        <f t="shared" si="4"/>
        <v>#NAME?</v>
      </c>
      <c r="AH8" s="309">
        <f t="shared" ref="AH8:AH16" si="30">AH$7-(AH$7-AH$17)*$J8/$F$17</f>
        <v>1098.872996</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18.46407407</v>
      </c>
      <c r="AN8" s="309" t="str">
        <f t="shared" si="5"/>
        <v>#NAME?</v>
      </c>
      <c r="AO8" s="309">
        <f t="shared" ref="AO8:AO16" si="35">AO$7-(AO$7-AO$17)*$J8/$F$17</f>
        <v>1368.298752</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19.44148148</v>
      </c>
      <c r="BP8" s="309" t="str">
        <f t="shared" si="9"/>
        <v>#NAME?</v>
      </c>
      <c r="BQ8" s="309">
        <f t="shared" ref="BQ8:BQ16" si="55">BQ$7-(BQ$7-BQ$17)*$J8/$F$17</f>
        <v>1552.472273</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16.55580247</v>
      </c>
      <c r="BW8" s="309" t="str">
        <f t="shared" si="10"/>
        <v>#NAME?</v>
      </c>
      <c r="BX8" s="309">
        <f t="shared" ref="BX8:BX16" si="60">BX$7-(BX$7-BX$17)*$J8/$F$17</f>
        <v>1478.912352</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13.8562963</v>
      </c>
      <c r="CD8" s="309" t="str">
        <f t="shared" si="11"/>
        <v>#NAME?</v>
      </c>
      <c r="CE8" s="309">
        <f t="shared" ref="CE8:CE16" si="65">CE$7-(CE$7-CE$17)*$J8/$F$17</f>
        <v>1374.195007</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11.62222222</v>
      </c>
      <c r="CK8" s="309" t="str">
        <f t="shared" si="12"/>
        <v>#NAME?</v>
      </c>
      <c r="CL8" s="309">
        <f t="shared" ref="CL8:CL16" si="70">CL$7-(CL$7-CL$17)*$J8/$F$17</f>
        <v>1333.0841</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8" t="str">
        <f>IF('Caratteristiche componente'!C9&lt;&gt;"",'Caratteristiche componente'!C9,"")</f>
        <v/>
      </c>
      <c r="C9" s="354" t="str">
        <f>'Calcoli componente'!C9</f>
        <v/>
      </c>
      <c r="D9" s="308" t="str">
        <f>'Calcoli componente'!E9</f>
        <v/>
      </c>
      <c r="E9" s="355" t="str">
        <f>'Calcoli componente'!G9</f>
        <v/>
      </c>
      <c r="F9" s="356">
        <f>'Calcoli componente'!J9</f>
        <v>0</v>
      </c>
      <c r="G9" s="357">
        <f>'Calcoli componente'!K9</f>
        <v>0</v>
      </c>
      <c r="H9" s="282"/>
      <c r="I9" s="328" t="s">
        <v>367</v>
      </c>
      <c r="J9" s="351">
        <f t="shared" si="13"/>
        <v>22.83</v>
      </c>
      <c r="K9" s="352">
        <f t="shared" si="14"/>
        <v>1.80345679</v>
      </c>
      <c r="L9" s="309" t="str">
        <f t="shared" si="1"/>
        <v>#NAME?</v>
      </c>
      <c r="M9" s="309">
        <f t="shared" si="15"/>
        <v>516</v>
      </c>
      <c r="N9" s="309" t="str">
        <f t="shared" si="16"/>
        <v>#NAME?</v>
      </c>
      <c r="O9" s="309" t="str">
        <f>IF(AND(N9&gt;0,N9=MAX(N$7:N$17)),3,0)</f>
        <v>#NAME?</v>
      </c>
      <c r="P9" s="309" t="str">
        <f t="shared" si="17"/>
        <v>#NAME?</v>
      </c>
      <c r="Q9" s="250" t="str">
        <f t="shared" si="18"/>
        <v>#NAME?</v>
      </c>
      <c r="R9" s="352">
        <f t="shared" si="19"/>
        <v>4.402962963</v>
      </c>
      <c r="S9" s="309" t="str">
        <f t="shared" si="2"/>
        <v>#NAME?</v>
      </c>
      <c r="T9" s="309">
        <f t="shared" si="20"/>
        <v>606</v>
      </c>
      <c r="U9" s="309" t="str">
        <f t="shared" si="21"/>
        <v>#NAME?</v>
      </c>
      <c r="V9" s="309" t="str">
        <f>IF(AND(U9&gt;0,U9=MAX(U$7:U$17)),3,0)</f>
        <v>#NAME?</v>
      </c>
      <c r="W9" s="309" t="str">
        <f t="shared" si="22"/>
        <v>#NAME?</v>
      </c>
      <c r="X9" s="250" t="str">
        <f t="shared" si="23"/>
        <v>#NAME?</v>
      </c>
      <c r="Y9" s="352">
        <f t="shared" si="24"/>
        <v>9.044938272</v>
      </c>
      <c r="Z9" s="309" t="str">
        <f t="shared" si="3"/>
        <v>#NAME?</v>
      </c>
      <c r="AA9" s="309">
        <f t="shared" si="25"/>
        <v>583</v>
      </c>
      <c r="AB9" s="309" t="str">
        <f t="shared" si="26"/>
        <v>#NAME?</v>
      </c>
      <c r="AC9" s="309" t="str">
        <f>IF(AND(AB9&gt;0,AB9=MAX(AB$7:AB$17)),3,0)</f>
        <v>#NAME?</v>
      </c>
      <c r="AD9" s="309" t="str">
        <f t="shared" si="27"/>
        <v>#NAME?</v>
      </c>
      <c r="AE9" s="250" t="str">
        <f t="shared" si="28"/>
        <v>#NAME?</v>
      </c>
      <c r="AF9" s="352">
        <f t="shared" si="29"/>
        <v>13.22271605</v>
      </c>
      <c r="AG9" s="309" t="str">
        <f t="shared" si="4"/>
        <v>#NAME?</v>
      </c>
      <c r="AH9" s="309">
        <f t="shared" si="30"/>
        <v>804</v>
      </c>
      <c r="AI9" s="309" t="str">
        <f t="shared" si="31"/>
        <v>#NAME?</v>
      </c>
      <c r="AJ9" s="309" t="str">
        <f>IF(AND(AI9&gt;0,AI9=MAX(AI$7:AI$17)),3,0)</f>
        <v>#NAME?</v>
      </c>
      <c r="AK9" s="309" t="str">
        <f t="shared" si="32"/>
        <v>#NAME?</v>
      </c>
      <c r="AL9" s="250" t="str">
        <f t="shared" si="33"/>
        <v>#NAME?</v>
      </c>
      <c r="AM9" s="352">
        <f t="shared" si="34"/>
        <v>16.9362963</v>
      </c>
      <c r="AN9" s="309" t="str">
        <f t="shared" si="5"/>
        <v>#NAME?</v>
      </c>
      <c r="AO9" s="309">
        <f t="shared" si="35"/>
        <v>1235</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18.88592593</v>
      </c>
      <c r="BP9" s="309" t="str">
        <f t="shared" si="9"/>
        <v>#NAME?</v>
      </c>
      <c r="BQ9" s="309">
        <f t="shared" si="55"/>
        <v>1504</v>
      </c>
      <c r="BR9" s="309" t="str">
        <f t="shared" si="56"/>
        <v>#NAME?</v>
      </c>
      <c r="BS9" s="309" t="str">
        <f>IF(AND(BR9&gt;0,BR9=MAX(BR$7:BR$17)),3,0)</f>
        <v>#NAME?</v>
      </c>
      <c r="BT9" s="309" t="str">
        <f t="shared" si="57"/>
        <v>#NAME?</v>
      </c>
      <c r="BU9" s="250" t="str">
        <f t="shared" si="58"/>
        <v>#NAME?</v>
      </c>
      <c r="BV9" s="352">
        <f t="shared" si="59"/>
        <v>13.12987654</v>
      </c>
      <c r="BW9" s="309" t="str">
        <f t="shared" si="10"/>
        <v>#NAME?</v>
      </c>
      <c r="BX9" s="309">
        <f t="shared" si="60"/>
        <v>1180</v>
      </c>
      <c r="BY9" s="309" t="str">
        <f t="shared" si="61"/>
        <v>#NAME?</v>
      </c>
      <c r="BZ9" s="309" t="str">
        <f>IF(AND(BY9&gt;0,BY9=MAX(BY$7:BY$17)),3,0)</f>
        <v>#NAME?</v>
      </c>
      <c r="CA9" s="309" t="str">
        <f t="shared" si="62"/>
        <v>#NAME?</v>
      </c>
      <c r="CB9" s="250" t="str">
        <f t="shared" si="63"/>
        <v>#NAME?</v>
      </c>
      <c r="CC9" s="352">
        <f t="shared" si="64"/>
        <v>7.745185185</v>
      </c>
      <c r="CD9" s="309" t="str">
        <f t="shared" si="11"/>
        <v>#NAME?</v>
      </c>
      <c r="CE9" s="309">
        <f t="shared" si="65"/>
        <v>841</v>
      </c>
      <c r="CF9" s="309" t="str">
        <f t="shared" si="66"/>
        <v>#NAME?</v>
      </c>
      <c r="CG9" s="309" t="str">
        <f>IF(AND(CF9&gt;0,CF9=MAX(CF$7:CF$17)),3,0)</f>
        <v>#NAME?</v>
      </c>
      <c r="CH9" s="309" t="str">
        <f t="shared" si="67"/>
        <v>#NAME?</v>
      </c>
      <c r="CI9" s="250" t="str">
        <f t="shared" si="68"/>
        <v>#NAME?</v>
      </c>
      <c r="CJ9" s="352">
        <f t="shared" si="69"/>
        <v>3.288888889</v>
      </c>
      <c r="CK9" s="309" t="str">
        <f t="shared" si="12"/>
        <v>#NAME?</v>
      </c>
      <c r="CL9" s="309">
        <f t="shared" si="70"/>
        <v>606</v>
      </c>
      <c r="CM9" s="309" t="str">
        <f t="shared" si="71"/>
        <v>#NAME?</v>
      </c>
      <c r="CN9" s="309" t="str">
        <f>IF(AND(CM9&gt;0,CM9=MAX(CM$7:CM$17)),3,0)</f>
        <v>#NAME?</v>
      </c>
      <c r="CO9" s="309" t="str">
        <f t="shared" si="72"/>
        <v>#NAME?</v>
      </c>
      <c r="CP9" s="250" t="str">
        <f t="shared" si="73"/>
        <v>#NAME?</v>
      </c>
    </row>
    <row r="10" ht="12.75" customHeight="1">
      <c r="A10" s="331" t="str">
        <f>ROMAN(4)</f>
        <v>IV</v>
      </c>
      <c r="B10" s="358" t="str">
        <f>IF('Caratteristiche componente'!C10&lt;&gt;"",'Caratteristiche componente'!C10,"")</f>
        <v/>
      </c>
      <c r="C10" s="354" t="str">
        <f>'Calcoli componente'!C10</f>
        <v/>
      </c>
      <c r="D10" s="308" t="str">
        <f>'Calcoli componente'!E10</f>
        <v/>
      </c>
      <c r="E10" s="355" t="str">
        <f>'Calcoli componente'!G10</f>
        <v/>
      </c>
      <c r="F10" s="356">
        <f>'Calcoli componente'!J10</f>
        <v>0</v>
      </c>
      <c r="G10" s="357">
        <f>'Calcoli componente'!K10</f>
        <v>0</v>
      </c>
      <c r="H10" s="282"/>
      <c r="I10" s="328" t="s">
        <v>368</v>
      </c>
      <c r="J10" s="351">
        <f t="shared" si="13"/>
        <v>22.83</v>
      </c>
      <c r="K10" s="352">
        <f t="shared" si="14"/>
        <v>1.80345679</v>
      </c>
      <c r="L10" s="309" t="str">
        <f t="shared" si="1"/>
        <v>#NAME?</v>
      </c>
      <c r="M10" s="309">
        <f t="shared" si="15"/>
        <v>516</v>
      </c>
      <c r="N10" s="309" t="str">
        <f t="shared" si="16"/>
        <v>#NAME?</v>
      </c>
      <c r="O10" s="309" t="str">
        <f>IF(AND(N10&gt;0,N10=MAX(N$7:N$17)),4,0)</f>
        <v>#NAME?</v>
      </c>
      <c r="P10" s="309" t="str">
        <f t="shared" si="17"/>
        <v>#NAME?</v>
      </c>
      <c r="Q10" s="250" t="str">
        <f t="shared" si="18"/>
        <v>#NAME?</v>
      </c>
      <c r="R10" s="352">
        <f t="shared" si="19"/>
        <v>4.402962963</v>
      </c>
      <c r="S10" s="309" t="str">
        <f t="shared" si="2"/>
        <v>#NAME?</v>
      </c>
      <c r="T10" s="309">
        <f t="shared" si="20"/>
        <v>606</v>
      </c>
      <c r="U10" s="309" t="str">
        <f t="shared" si="21"/>
        <v>#NAME?</v>
      </c>
      <c r="V10" s="309" t="str">
        <f>IF(AND(U10&gt;0,U10=MAX(U$7:U$17)),4,0)</f>
        <v>#NAME?</v>
      </c>
      <c r="W10" s="309" t="str">
        <f t="shared" si="22"/>
        <v>#NAME?</v>
      </c>
      <c r="X10" s="250" t="str">
        <f t="shared" si="23"/>
        <v>#NAME?</v>
      </c>
      <c r="Y10" s="352">
        <f t="shared" si="24"/>
        <v>9.044938272</v>
      </c>
      <c r="Z10" s="309" t="str">
        <f t="shared" si="3"/>
        <v>#NAME?</v>
      </c>
      <c r="AA10" s="309">
        <f t="shared" si="25"/>
        <v>583</v>
      </c>
      <c r="AB10" s="309" t="str">
        <f t="shared" si="26"/>
        <v>#NAME?</v>
      </c>
      <c r="AC10" s="309" t="str">
        <f>IF(AND(AB10&gt;0,AB10=MAX(AB$7:AB$17)),4,0)</f>
        <v>#NAME?</v>
      </c>
      <c r="AD10" s="309" t="str">
        <f t="shared" si="27"/>
        <v>#NAME?</v>
      </c>
      <c r="AE10" s="250" t="str">
        <f t="shared" si="28"/>
        <v>#NAME?</v>
      </c>
      <c r="AF10" s="352">
        <f t="shared" si="29"/>
        <v>13.22271605</v>
      </c>
      <c r="AG10" s="309" t="str">
        <f t="shared" si="4"/>
        <v>#NAME?</v>
      </c>
      <c r="AH10" s="309">
        <f t="shared" si="30"/>
        <v>804</v>
      </c>
      <c r="AI10" s="309" t="str">
        <f t="shared" si="31"/>
        <v>#NAME?</v>
      </c>
      <c r="AJ10" s="309" t="str">
        <f>IF(AND(AI10&gt;0,AI10=MAX(AI$7:AI$17)),4,0)</f>
        <v>#NAME?</v>
      </c>
      <c r="AK10" s="309" t="str">
        <f t="shared" si="32"/>
        <v>#NAME?</v>
      </c>
      <c r="AL10" s="250" t="str">
        <f t="shared" si="33"/>
        <v>#NAME?</v>
      </c>
      <c r="AM10" s="352">
        <f t="shared" si="34"/>
        <v>16.9362963</v>
      </c>
      <c r="AN10" s="309" t="str">
        <f t="shared" si="5"/>
        <v>#NAME?</v>
      </c>
      <c r="AO10" s="309">
        <f t="shared" si="35"/>
        <v>1235</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18.88592593</v>
      </c>
      <c r="BP10" s="309" t="str">
        <f t="shared" si="9"/>
        <v>#NAME?</v>
      </c>
      <c r="BQ10" s="309">
        <f t="shared" si="55"/>
        <v>1504</v>
      </c>
      <c r="BR10" s="309" t="str">
        <f t="shared" si="56"/>
        <v>#NAME?</v>
      </c>
      <c r="BS10" s="309" t="str">
        <f>IF(AND(BR10&gt;0,BR10=MAX(BR$7:BR$17)),4,0)</f>
        <v>#NAME?</v>
      </c>
      <c r="BT10" s="309" t="str">
        <f t="shared" si="57"/>
        <v>#NAME?</v>
      </c>
      <c r="BU10" s="250" t="str">
        <f t="shared" si="58"/>
        <v>#NAME?</v>
      </c>
      <c r="BV10" s="352">
        <f t="shared" si="59"/>
        <v>13.12987654</v>
      </c>
      <c r="BW10" s="309" t="str">
        <f t="shared" si="10"/>
        <v>#NAME?</v>
      </c>
      <c r="BX10" s="309">
        <f t="shared" si="60"/>
        <v>1180</v>
      </c>
      <c r="BY10" s="309" t="str">
        <f t="shared" si="61"/>
        <v>#NAME?</v>
      </c>
      <c r="BZ10" s="309" t="str">
        <f>IF(AND(BY10&gt;0,BY10=MAX(BY$7:BY$17)),4,0)</f>
        <v>#NAME?</v>
      </c>
      <c r="CA10" s="309" t="str">
        <f t="shared" si="62"/>
        <v>#NAME?</v>
      </c>
      <c r="CB10" s="250" t="str">
        <f t="shared" si="63"/>
        <v>#NAME?</v>
      </c>
      <c r="CC10" s="352">
        <f t="shared" si="64"/>
        <v>7.745185185</v>
      </c>
      <c r="CD10" s="309" t="str">
        <f t="shared" si="11"/>
        <v>#NAME?</v>
      </c>
      <c r="CE10" s="309">
        <f t="shared" si="65"/>
        <v>841</v>
      </c>
      <c r="CF10" s="309" t="str">
        <f t="shared" si="66"/>
        <v>#NAME?</v>
      </c>
      <c r="CG10" s="309" t="str">
        <f>IF(AND(CF10&gt;0,CF10=MAX(CF$7:CF$17)),4,0)</f>
        <v>#NAME?</v>
      </c>
      <c r="CH10" s="309" t="str">
        <f t="shared" si="67"/>
        <v>#NAME?</v>
      </c>
      <c r="CI10" s="250" t="str">
        <f t="shared" si="68"/>
        <v>#NAME?</v>
      </c>
      <c r="CJ10" s="352">
        <f t="shared" si="69"/>
        <v>3.288888889</v>
      </c>
      <c r="CK10" s="309" t="str">
        <f t="shared" si="12"/>
        <v>#NAME?</v>
      </c>
      <c r="CL10" s="309">
        <f t="shared" si="70"/>
        <v>606</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369</v>
      </c>
      <c r="J11" s="351">
        <f t="shared" si="13"/>
        <v>22.83</v>
      </c>
      <c r="K11" s="352">
        <f t="shared" si="14"/>
        <v>1.80345679</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4.402962963</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9.044938272</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13.22271605</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16.9362963</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18.88592593</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13.12987654</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7.745185185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3.288888889</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370</v>
      </c>
      <c r="J12" s="351">
        <f t="shared" si="13"/>
        <v>22.83</v>
      </c>
      <c r="K12" s="352">
        <f t="shared" si="14"/>
        <v>1.80345679</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4.402962963</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9.044938272</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13.22271605</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16.9362963</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18.88592593</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13.12987654</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7.745185185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3.288888889</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371</v>
      </c>
      <c r="J13" s="351">
        <f t="shared" si="13"/>
        <v>22.83</v>
      </c>
      <c r="K13" s="352">
        <f t="shared" si="14"/>
        <v>1.80345679</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4.402962963</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9.044938272</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13.22271605</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16.9362963</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18.88592593</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13.12987654</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7.745185185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3.288888889</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372</v>
      </c>
      <c r="J14" s="351">
        <f t="shared" si="13"/>
        <v>22.83</v>
      </c>
      <c r="K14" s="352">
        <f t="shared" si="14"/>
        <v>1.80345679</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4.402962963</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9.044938272</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13.22271605</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16.9362963</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18.88592593</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13.12987654</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7.745185185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3.288888889</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373</v>
      </c>
      <c r="J15" s="351">
        <f t="shared" si="13"/>
        <v>22.83</v>
      </c>
      <c r="K15" s="352">
        <f t="shared" si="14"/>
        <v>1.80345679</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4.402962963</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9.044938272</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13.22271605</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16.9362963</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18.88592593</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13.12987654</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7.745185185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3.288888889</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374</v>
      </c>
      <c r="J16" s="351">
        <f t="shared" si="13"/>
        <v>22.83</v>
      </c>
      <c r="K16" s="352">
        <f t="shared" si="14"/>
        <v>1.80345679</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4.402962963</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9.044938272</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13.22271605</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16.9362963</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18.88592593</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13.12987654</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7.745185185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3.288888889</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109</v>
      </c>
      <c r="B17" s="363"/>
      <c r="C17" s="364">
        <f>SUM(C$7:C$16)</f>
        <v>31</v>
      </c>
      <c r="D17" s="363"/>
      <c r="E17" s="365"/>
      <c r="F17" s="366">
        <f t="shared" ref="F17:G17" si="74">SUM(F$7:F$16)</f>
        <v>22.83</v>
      </c>
      <c r="G17" s="367">
        <f t="shared" si="74"/>
        <v>0.2686206897</v>
      </c>
      <c r="H17" s="282"/>
      <c r="I17" s="328" t="s">
        <v>375</v>
      </c>
      <c r="J17" s="351">
        <f t="shared" si="13"/>
        <v>22.83</v>
      </c>
      <c r="K17" s="352">
        <f t="shared" si="14"/>
        <v>1.80345679</v>
      </c>
      <c r="L17" s="309" t="str">
        <f t="shared" si="1"/>
        <v>#NAME?</v>
      </c>
      <c r="M17" s="309">
        <f>M18</f>
        <v>516</v>
      </c>
      <c r="N17" s="309" t="str">
        <f t="shared" si="16"/>
        <v>#NAME?</v>
      </c>
      <c r="O17" s="309" t="str">
        <f>IF(AND(N17&gt;0,N17=MAX(N$7:N$17)),11,0)</f>
        <v>#NAME?</v>
      </c>
      <c r="P17" s="309">
        <f>M17</f>
        <v>516</v>
      </c>
      <c r="Q17" s="368"/>
      <c r="R17" s="352">
        <f t="shared" si="19"/>
        <v>4.402962963</v>
      </c>
      <c r="S17" s="309" t="str">
        <f t="shared" si="2"/>
        <v>#NAME?</v>
      </c>
      <c r="T17" s="309">
        <f>T18</f>
        <v>606</v>
      </c>
      <c r="U17" s="309" t="str">
        <f t="shared" si="21"/>
        <v>#NAME?</v>
      </c>
      <c r="V17" s="309" t="str">
        <f>IF(AND(U17&gt;0,U17=MAX(U$7:U$17)),11,0)</f>
        <v>#NAME?</v>
      </c>
      <c r="W17" s="309">
        <f>T17</f>
        <v>606</v>
      </c>
      <c r="X17" s="368"/>
      <c r="Y17" s="352">
        <f t="shared" si="24"/>
        <v>9.044938272</v>
      </c>
      <c r="Z17" s="309" t="str">
        <f t="shared" si="3"/>
        <v>#NAME?</v>
      </c>
      <c r="AA17" s="309">
        <f>AA18</f>
        <v>583</v>
      </c>
      <c r="AB17" s="309" t="str">
        <f t="shared" si="26"/>
        <v>#NAME?</v>
      </c>
      <c r="AC17" s="309" t="str">
        <f>IF(AND(AB17&gt;0,AB17=MAX(AB$7:AB$17)),11,0)</f>
        <v>#NAME?</v>
      </c>
      <c r="AD17" s="309">
        <f>AA17</f>
        <v>583</v>
      </c>
      <c r="AE17" s="368"/>
      <c r="AF17" s="352">
        <f t="shared" si="29"/>
        <v>13.22271605</v>
      </c>
      <c r="AG17" s="309" t="str">
        <f t="shared" si="4"/>
        <v>#NAME?</v>
      </c>
      <c r="AH17" s="309">
        <f>AH18</f>
        <v>804</v>
      </c>
      <c r="AI17" s="309" t="str">
        <f t="shared" si="31"/>
        <v>#NAME?</v>
      </c>
      <c r="AJ17" s="309" t="str">
        <f>IF(AND(AI17&gt;0,AI17=MAX(AI$7:AI$17)),11,0)</f>
        <v>#NAME?</v>
      </c>
      <c r="AK17" s="309">
        <f>AH17</f>
        <v>804</v>
      </c>
      <c r="AL17" s="368"/>
      <c r="AM17" s="352">
        <f t="shared" si="34"/>
        <v>16.9362963</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18.88592593</v>
      </c>
      <c r="BP17" s="309" t="str">
        <f t="shared" si="9"/>
        <v>#NAME?</v>
      </c>
      <c r="BQ17" s="309">
        <f>BQ18</f>
        <v>1504</v>
      </c>
      <c r="BR17" s="309" t="str">
        <f t="shared" si="56"/>
        <v>#NAME?</v>
      </c>
      <c r="BS17" s="309" t="str">
        <f>IF(AND(BR17&gt;0,BR17=MAX(BR$7:BR$17)),11,0)</f>
        <v>#NAME?</v>
      </c>
      <c r="BT17" s="309">
        <f>BQ17</f>
        <v>1504</v>
      </c>
      <c r="BU17" s="368"/>
      <c r="BV17" s="352">
        <f t="shared" si="59"/>
        <v>13.12987654</v>
      </c>
      <c r="BW17" s="309" t="str">
        <f t="shared" si="10"/>
        <v>#NAME?</v>
      </c>
      <c r="BX17" s="309">
        <f>BX18</f>
        <v>1180</v>
      </c>
      <c r="BY17" s="309" t="str">
        <f t="shared" si="61"/>
        <v>#NAME?</v>
      </c>
      <c r="BZ17" s="309" t="str">
        <f>IF(AND(BY17&gt;0,BY17=MAX(BY$7:BY$17)),11,0)</f>
        <v>#NAME?</v>
      </c>
      <c r="CA17" s="309">
        <f>BX17</f>
        <v>1180</v>
      </c>
      <c r="CB17" s="368"/>
      <c r="CC17" s="352">
        <f t="shared" si="64"/>
        <v>7.745185185</v>
      </c>
      <c r="CD17" s="309" t="str">
        <f t="shared" si="11"/>
        <v>#NAME?</v>
      </c>
      <c r="CE17" s="309">
        <f>CE18</f>
        <v>841</v>
      </c>
      <c r="CF17" s="309" t="str">
        <f t="shared" si="66"/>
        <v>#NAME?</v>
      </c>
      <c r="CG17" s="309" t="str">
        <f>IF(AND(CF17&gt;0,CF17=MAX(CF$7:CF$17)),11,0)</f>
        <v>#NAME?</v>
      </c>
      <c r="CH17" s="309">
        <f>CE17</f>
        <v>841</v>
      </c>
      <c r="CI17" s="368"/>
      <c r="CJ17" s="352">
        <f t="shared" si="69"/>
        <v>3.288888889</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376</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0.5586206897</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377</v>
      </c>
      <c r="K20" s="375">
        <f>(K7-K18)/(K6-K18)</f>
        <v>0.5524691358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378</v>
      </c>
      <c r="F25" s="291" t="s">
        <v>379</v>
      </c>
      <c r="G25" s="291" t="s">
        <v>380</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319</v>
      </c>
      <c r="D26" s="282"/>
      <c r="E26" s="331" t="s">
        <v>299</v>
      </c>
      <c r="F26" s="297" t="s">
        <v>299</v>
      </c>
      <c r="G26" s="297" t="s">
        <v>381</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382</v>
      </c>
      <c r="G28" s="383" t="s">
        <v>383</v>
      </c>
      <c r="H28" s="291" t="s">
        <v>324</v>
      </c>
      <c r="I28" s="291" t="s">
        <v>384</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96</v>
      </c>
      <c r="G29" s="334" t="s">
        <v>299</v>
      </c>
      <c r="H29" s="303" t="s">
        <v>299</v>
      </c>
      <c r="I29" s="303" t="s">
        <v>299</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365</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366</v>
      </c>
      <c r="D31" s="299">
        <f t="shared" ref="D31:D40" si="79">D30+1</f>
        <v>2</v>
      </c>
      <c r="E31" s="387">
        <f t="shared" si="75"/>
        <v>2.13</v>
      </c>
      <c r="F31" s="387">
        <f t="shared" ref="F31:F40" si="80">F30+F7</f>
        <v>2.13</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367</v>
      </c>
      <c r="D32" s="299">
        <f t="shared" si="79"/>
        <v>3</v>
      </c>
      <c r="E32" s="387">
        <f t="shared" si="75"/>
        <v>22.83</v>
      </c>
      <c r="F32" s="387">
        <f t="shared" si="80"/>
        <v>22.83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368</v>
      </c>
      <c r="D33" s="299">
        <f t="shared" si="79"/>
        <v>4</v>
      </c>
      <c r="E33" s="387">
        <f t="shared" si="75"/>
        <v>22.83</v>
      </c>
      <c r="F33" s="387">
        <f t="shared" si="80"/>
        <v>22.83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369</v>
      </c>
      <c r="D34" s="299">
        <f t="shared" si="79"/>
        <v>5</v>
      </c>
      <c r="E34" s="387">
        <f t="shared" si="75"/>
        <v>22.83</v>
      </c>
      <c r="F34" s="387">
        <f t="shared" si="80"/>
        <v>22.83</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370</v>
      </c>
      <c r="D35" s="299">
        <f t="shared" si="79"/>
        <v>6</v>
      </c>
      <c r="E35" s="387">
        <f t="shared" si="75"/>
        <v>22.83</v>
      </c>
      <c r="F35" s="387">
        <f t="shared" si="80"/>
        <v>22.83</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371</v>
      </c>
      <c r="D36" s="299">
        <f t="shared" si="79"/>
        <v>7</v>
      </c>
      <c r="E36" s="387">
        <f t="shared" si="75"/>
        <v>22.83</v>
      </c>
      <c r="F36" s="387">
        <f t="shared" si="80"/>
        <v>22.83</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372</v>
      </c>
      <c r="D37" s="299">
        <f t="shared" si="79"/>
        <v>8</v>
      </c>
      <c r="E37" s="387">
        <f t="shared" si="75"/>
        <v>22.83</v>
      </c>
      <c r="F37" s="387">
        <f t="shared" si="80"/>
        <v>22.83</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373</v>
      </c>
      <c r="D38" s="299">
        <f t="shared" si="79"/>
        <v>9</v>
      </c>
      <c r="E38" s="387">
        <f t="shared" si="75"/>
        <v>22.83</v>
      </c>
      <c r="F38" s="387">
        <f t="shared" si="80"/>
        <v>22.83</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374</v>
      </c>
      <c r="D39" s="299">
        <f t="shared" si="79"/>
        <v>10</v>
      </c>
      <c r="E39" s="387">
        <f t="shared" si="75"/>
        <v>22.83</v>
      </c>
      <c r="F39" s="387">
        <f t="shared" si="80"/>
        <v>22.83</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375</v>
      </c>
      <c r="D40" s="388">
        <f t="shared" si="79"/>
        <v>11</v>
      </c>
      <c r="E40" s="315">
        <f t="shared" si="75"/>
        <v>22.83</v>
      </c>
      <c r="F40" s="315">
        <f t="shared" si="80"/>
        <v>22.83</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279</v>
      </c>
      <c r="C1" s="33" t="s">
        <v>280</v>
      </c>
      <c r="D1" s="33" t="s">
        <v>385</v>
      </c>
      <c r="E1" s="33" t="s">
        <v>386</v>
      </c>
      <c r="F1" s="33" t="s">
        <v>387</v>
      </c>
      <c r="G1" s="33" t="s">
        <v>388</v>
      </c>
      <c r="H1" s="33" t="s">
        <v>389</v>
      </c>
      <c r="I1" s="33" t="s">
        <v>390</v>
      </c>
      <c r="J1" s="33" t="s">
        <v>391</v>
      </c>
      <c r="K1" s="33" t="s">
        <v>392</v>
      </c>
      <c r="L1" s="33" t="s">
        <v>393</v>
      </c>
      <c r="M1" s="33" t="s">
        <v>394</v>
      </c>
      <c r="N1" s="33" t="s">
        <v>395</v>
      </c>
      <c r="O1" s="33" t="s">
        <v>396</v>
      </c>
    </row>
    <row r="2" ht="15.0" customHeight="1">
      <c r="B2" s="104" t="s">
        <v>397</v>
      </c>
      <c r="C2" s="389" t="s">
        <v>398</v>
      </c>
      <c r="D2" s="390">
        <v>10.4</v>
      </c>
      <c r="E2" s="390">
        <v>10.8</v>
      </c>
      <c r="F2" s="390">
        <v>12.7</v>
      </c>
      <c r="G2" s="390">
        <v>15.6</v>
      </c>
      <c r="H2" s="390">
        <v>19.4</v>
      </c>
      <c r="I2" s="390">
        <v>24.1</v>
      </c>
      <c r="J2" s="390">
        <v>26.9</v>
      </c>
      <c r="K2" s="390">
        <v>26.5</v>
      </c>
      <c r="L2" s="390">
        <v>24.0</v>
      </c>
      <c r="M2" s="390">
        <v>19.9</v>
      </c>
      <c r="N2" s="390">
        <v>15.9</v>
      </c>
      <c r="O2" s="390">
        <v>12.2</v>
      </c>
    </row>
    <row r="3" ht="15.0" customHeight="1">
      <c r="B3" s="104" t="s">
        <v>399</v>
      </c>
      <c r="C3" s="389" t="s">
        <v>400</v>
      </c>
      <c r="D3" s="390">
        <v>0.0</v>
      </c>
      <c r="E3" s="390">
        <v>2.8</v>
      </c>
      <c r="F3" s="390">
        <v>8.1</v>
      </c>
      <c r="G3" s="390">
        <v>13.1</v>
      </c>
      <c r="H3" s="390">
        <v>17.3</v>
      </c>
      <c r="I3" s="390">
        <v>22.0</v>
      </c>
      <c r="J3" s="390">
        <v>24.7</v>
      </c>
      <c r="K3" s="390">
        <v>23.6</v>
      </c>
      <c r="L3" s="390">
        <v>19.9</v>
      </c>
      <c r="M3" s="390">
        <v>13.1</v>
      </c>
      <c r="N3" s="390">
        <v>6.9</v>
      </c>
      <c r="O3" s="390">
        <v>1.9</v>
      </c>
    </row>
    <row r="4" ht="15.0" customHeight="1">
      <c r="B4" s="104" t="s">
        <v>401</v>
      </c>
      <c r="C4" s="389" t="s">
        <v>402</v>
      </c>
      <c r="D4" s="390">
        <v>6.3</v>
      </c>
      <c r="E4" s="390">
        <v>7.1</v>
      </c>
      <c r="F4" s="390">
        <v>9.9</v>
      </c>
      <c r="G4" s="390">
        <v>13.4</v>
      </c>
      <c r="H4" s="390">
        <v>17.0</v>
      </c>
      <c r="I4" s="390">
        <v>21.8</v>
      </c>
      <c r="J4" s="390">
        <v>24.4</v>
      </c>
      <c r="K4" s="390">
        <v>24.1</v>
      </c>
      <c r="L4" s="390">
        <v>21.3</v>
      </c>
      <c r="M4" s="390">
        <v>16.5</v>
      </c>
      <c r="N4" s="390">
        <v>12.1</v>
      </c>
      <c r="O4" s="390">
        <v>7.8</v>
      </c>
    </row>
    <row r="5" ht="15.0" customHeight="1">
      <c r="B5" s="104" t="s">
        <v>403</v>
      </c>
      <c r="C5" s="389" t="s">
        <v>400</v>
      </c>
      <c r="D5" s="390">
        <v>-0.3</v>
      </c>
      <c r="E5" s="390">
        <v>2.6</v>
      </c>
      <c r="F5" s="390">
        <v>6.7</v>
      </c>
      <c r="G5" s="390">
        <v>11.0</v>
      </c>
      <c r="H5" s="390">
        <v>14.7</v>
      </c>
      <c r="I5" s="390">
        <v>18.7</v>
      </c>
      <c r="J5" s="390">
        <v>20.5</v>
      </c>
      <c r="K5" s="390">
        <v>19.4</v>
      </c>
      <c r="L5" s="390">
        <v>15.9</v>
      </c>
      <c r="M5" s="390">
        <v>10.3</v>
      </c>
      <c r="N5" s="390">
        <v>4.8</v>
      </c>
      <c r="O5" s="390">
        <v>0.8</v>
      </c>
    </row>
    <row r="6" ht="15.0" customHeight="1">
      <c r="B6" s="104" t="s">
        <v>404</v>
      </c>
      <c r="C6" s="389" t="s">
        <v>400</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405</v>
      </c>
      <c r="C7" s="389" t="s">
        <v>400</v>
      </c>
      <c r="D7" s="390">
        <v>5.1</v>
      </c>
      <c r="E7" s="390">
        <v>5.9</v>
      </c>
      <c r="F7" s="390">
        <v>9.2</v>
      </c>
      <c r="G7" s="390">
        <v>12.6</v>
      </c>
      <c r="H7" s="390">
        <v>16.4</v>
      </c>
      <c r="I7" s="390">
        <v>20.9</v>
      </c>
      <c r="J7" s="390">
        <v>24.0</v>
      </c>
      <c r="K7" s="390">
        <v>23.4</v>
      </c>
      <c r="L7" s="390">
        <v>20.3</v>
      </c>
      <c r="M7" s="390">
        <v>15.0</v>
      </c>
      <c r="N7" s="390">
        <v>10.2</v>
      </c>
      <c r="O7" s="390">
        <v>6.1</v>
      </c>
    </row>
    <row r="8" ht="15.0" customHeight="1">
      <c r="B8" s="104" t="s">
        <v>406</v>
      </c>
      <c r="C8" s="389" t="s">
        <v>402</v>
      </c>
      <c r="D8" s="390">
        <v>5.5</v>
      </c>
      <c r="E8" s="390">
        <v>6.6</v>
      </c>
      <c r="F8" s="390">
        <v>9.5</v>
      </c>
      <c r="G8" s="390">
        <v>13.3</v>
      </c>
      <c r="H8" s="390">
        <v>17.2</v>
      </c>
      <c r="I8" s="390">
        <v>21.7</v>
      </c>
      <c r="J8" s="390">
        <v>24.4</v>
      </c>
      <c r="K8" s="390">
        <v>24.3</v>
      </c>
      <c r="L8" s="390">
        <v>21.1</v>
      </c>
      <c r="M8" s="390">
        <v>15.8</v>
      </c>
      <c r="N8" s="390">
        <v>10.9</v>
      </c>
      <c r="O8" s="390">
        <v>7.0</v>
      </c>
    </row>
    <row r="9" ht="15.0" customHeight="1">
      <c r="B9" s="104" t="s">
        <v>407</v>
      </c>
      <c r="C9" s="389" t="s">
        <v>400</v>
      </c>
      <c r="D9" s="390">
        <v>-0.4</v>
      </c>
      <c r="E9" s="390">
        <v>2.7</v>
      </c>
      <c r="F9" s="390">
        <v>7.9</v>
      </c>
      <c r="G9" s="390">
        <v>13.0</v>
      </c>
      <c r="H9" s="390">
        <v>17.0</v>
      </c>
      <c r="I9" s="390">
        <v>21.6</v>
      </c>
      <c r="J9" s="390">
        <v>24.2</v>
      </c>
      <c r="K9" s="390">
        <v>22.9</v>
      </c>
      <c r="L9" s="390">
        <v>18.9</v>
      </c>
      <c r="M9" s="390">
        <v>12.7</v>
      </c>
      <c r="N9" s="390">
        <v>6.1</v>
      </c>
      <c r="O9" s="390">
        <v>1.3</v>
      </c>
    </row>
    <row r="10" ht="15.0" customHeight="1">
      <c r="B10" s="104" t="s">
        <v>408</v>
      </c>
      <c r="C10" s="389" t="s">
        <v>402</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409</v>
      </c>
      <c r="C11" s="389" t="s">
        <v>81</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410</v>
      </c>
      <c r="C12" s="389" t="s">
        <v>400</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411</v>
      </c>
      <c r="C13" s="389" t="s">
        <v>81</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412</v>
      </c>
      <c r="C14" s="389" t="s">
        <v>400</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413</v>
      </c>
      <c r="C15" s="389" t="s">
        <v>400</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414</v>
      </c>
      <c r="C16" s="389" t="s">
        <v>400</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415</v>
      </c>
      <c r="C17" s="389" t="s">
        <v>400</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416</v>
      </c>
      <c r="C18" s="389" t="s">
        <v>81</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417</v>
      </c>
      <c r="C19" s="389" t="s">
        <v>81</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418</v>
      </c>
      <c r="C20" s="389" t="s">
        <v>402</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419</v>
      </c>
      <c r="C21" s="389" t="s">
        <v>400</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420</v>
      </c>
      <c r="C22" s="389" t="s">
        <v>81</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421</v>
      </c>
      <c r="C23" s="389" t="s">
        <v>398</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422</v>
      </c>
      <c r="C24" s="389" t="s">
        <v>81</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423</v>
      </c>
      <c r="C25" s="389" t="s">
        <v>402</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424</v>
      </c>
      <c r="C26" s="389" t="s">
        <v>400</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425</v>
      </c>
      <c r="C27" s="389" t="s">
        <v>81</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426</v>
      </c>
      <c r="C28" s="389" t="s">
        <v>400</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427</v>
      </c>
      <c r="C29" s="389" t="s">
        <v>398</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428</v>
      </c>
      <c r="C30" s="389" t="s">
        <v>429</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430</v>
      </c>
      <c r="C31" s="389" t="s">
        <v>400</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431</v>
      </c>
      <c r="C32" s="389" t="s">
        <v>400</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432</v>
      </c>
      <c r="C33" s="389" t="s">
        <v>402</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433</v>
      </c>
      <c r="C34" s="389" t="s">
        <v>402</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434</v>
      </c>
      <c r="C35" s="389" t="s">
        <v>402</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435</v>
      </c>
      <c r="C36" s="389" t="s">
        <v>400</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436</v>
      </c>
      <c r="C37" s="389" t="s">
        <v>402</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437</v>
      </c>
      <c r="C38" s="389" t="s">
        <v>400</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438</v>
      </c>
      <c r="C39" s="389" t="s">
        <v>402</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439</v>
      </c>
      <c r="C40" s="389" t="s">
        <v>81</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440</v>
      </c>
      <c r="C41" s="389" t="s">
        <v>402</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441</v>
      </c>
      <c r="C42" s="389" t="s">
        <v>81</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442</v>
      </c>
      <c r="C43" s="389" t="s">
        <v>81</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443</v>
      </c>
      <c r="C44" s="389" t="s">
        <v>400</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444</v>
      </c>
      <c r="C45" s="389" t="s">
        <v>402</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445</v>
      </c>
      <c r="C46" s="389" t="s">
        <v>400</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446</v>
      </c>
      <c r="C47" s="389" t="s">
        <v>402</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447</v>
      </c>
      <c r="C48" s="389" t="s">
        <v>402</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448</v>
      </c>
      <c r="C49" s="389" t="s">
        <v>400</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449</v>
      </c>
      <c r="C50" s="389" t="s">
        <v>402</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450</v>
      </c>
      <c r="C51" s="389" t="s">
        <v>402</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451</v>
      </c>
      <c r="C52" s="389" t="s">
        <v>398</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452</v>
      </c>
      <c r="C53" s="389" t="s">
        <v>400</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453</v>
      </c>
      <c r="C54" s="389" t="s">
        <v>400</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454</v>
      </c>
      <c r="C55" s="389" t="s">
        <v>81</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455</v>
      </c>
      <c r="C56" s="389" t="s">
        <v>400</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456</v>
      </c>
      <c r="C57" s="389" t="s">
        <v>402</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457</v>
      </c>
      <c r="C58" s="389" t="s">
        <v>81</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458</v>
      </c>
      <c r="C59" s="389" t="s">
        <v>400</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459</v>
      </c>
      <c r="C60" s="389" t="s">
        <v>398</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460</v>
      </c>
      <c r="C61" s="389" t="s">
        <v>400</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461</v>
      </c>
      <c r="C62" s="389" t="s">
        <v>400</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462</v>
      </c>
      <c r="C63" s="389" t="s">
        <v>400</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463</v>
      </c>
      <c r="C64" s="389" t="s">
        <v>402</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464</v>
      </c>
      <c r="C65" s="389" t="s">
        <v>402</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465</v>
      </c>
      <c r="C66" s="389" t="s">
        <v>400</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466</v>
      </c>
      <c r="C67" s="389" t="s">
        <v>402</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467</v>
      </c>
      <c r="C68" s="389" t="s">
        <v>402</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468</v>
      </c>
      <c r="C69" s="389" t="s">
        <v>400</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469</v>
      </c>
      <c r="C70" s="389" t="s">
        <v>400</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470</v>
      </c>
      <c r="C71" s="389" t="s">
        <v>402</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471</v>
      </c>
      <c r="C72" s="389" t="s">
        <v>81</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472</v>
      </c>
      <c r="C73" s="389" t="s">
        <v>400</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473</v>
      </c>
      <c r="C74" s="389" t="s">
        <v>398</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474</v>
      </c>
      <c r="C75" s="389" t="s">
        <v>400</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475</v>
      </c>
      <c r="C76" s="389" t="s">
        <v>400</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476</v>
      </c>
      <c r="C77" s="389" t="s">
        <v>400</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477</v>
      </c>
      <c r="C78" s="389" t="s">
        <v>402</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478</v>
      </c>
      <c r="C79" s="389" t="s">
        <v>400</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479</v>
      </c>
      <c r="C80" s="389" t="s">
        <v>81</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480</v>
      </c>
      <c r="C81" s="389" t="s">
        <v>81</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481</v>
      </c>
      <c r="C82" s="389" t="s">
        <v>402</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482</v>
      </c>
      <c r="C83" s="389" t="s">
        <v>402</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483</v>
      </c>
      <c r="C84" s="389" t="s">
        <v>398</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484</v>
      </c>
      <c r="C85" s="389" t="s">
        <v>400</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485</v>
      </c>
      <c r="C86" s="389" t="s">
        <v>402</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486</v>
      </c>
      <c r="C87" s="389" t="s">
        <v>81</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487</v>
      </c>
      <c r="C88" s="389" t="s">
        <v>402</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488</v>
      </c>
      <c r="C89" s="389" t="s">
        <v>402</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281</v>
      </c>
      <c r="C90" s="389" t="s">
        <v>400</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489</v>
      </c>
      <c r="C91" s="389" t="s">
        <v>398</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490</v>
      </c>
      <c r="C92" s="389" t="s">
        <v>400</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491</v>
      </c>
      <c r="C93" s="389" t="s">
        <v>400</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492</v>
      </c>
      <c r="C94" s="389" t="s">
        <v>402</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493</v>
      </c>
      <c r="C95" s="389" t="s">
        <v>400</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494</v>
      </c>
      <c r="C96" s="389" t="s">
        <v>400</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495</v>
      </c>
      <c r="C97" s="389" t="s">
        <v>400</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496</v>
      </c>
      <c r="C98" s="389" t="s">
        <v>400</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497</v>
      </c>
      <c r="C99" s="389" t="s">
        <v>400</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498</v>
      </c>
      <c r="C100" s="389" t="s">
        <v>402</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499</v>
      </c>
      <c r="C101" s="389" t="s">
        <v>400</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500</v>
      </c>
      <c r="C102" s="389" t="s">
        <v>402</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279</v>
      </c>
      <c r="C1" s="33" t="s">
        <v>385</v>
      </c>
      <c r="D1" s="33" t="s">
        <v>386</v>
      </c>
      <c r="E1" s="33" t="s">
        <v>387</v>
      </c>
      <c r="F1" s="33" t="s">
        <v>388</v>
      </c>
      <c r="G1" s="33" t="s">
        <v>389</v>
      </c>
      <c r="H1" s="33" t="s">
        <v>390</v>
      </c>
      <c r="I1" s="33" t="s">
        <v>391</v>
      </c>
      <c r="J1" s="33" t="s">
        <v>392</v>
      </c>
      <c r="K1" s="33" t="s">
        <v>393</v>
      </c>
      <c r="L1" s="33" t="s">
        <v>394</v>
      </c>
      <c r="M1" s="33" t="s">
        <v>395</v>
      </c>
      <c r="N1" s="33" t="s">
        <v>396</v>
      </c>
    </row>
    <row r="2" ht="15.0" customHeight="1">
      <c r="B2" s="104" t="s">
        <v>397</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399</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401</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403</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404</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405</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406</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407</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408</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409</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410</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411</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412</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413</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414</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415</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416</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417</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418</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419</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420</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421</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422</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423</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424</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425</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426</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427</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428</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430</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431</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432</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433</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434</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435</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436</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437</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438</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439</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440</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441</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442</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443</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444</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445</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446</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447</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448</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449</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450</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451</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452</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453</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454</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455</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456</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457</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458</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459</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460</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461</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462</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463</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464</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465</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466</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467</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468</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469</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470</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471</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472</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473</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474</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475</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476</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477</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478</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479</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480</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481</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482</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483</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484</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485</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486</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487</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488</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281</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489</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490</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491</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492</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493</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494</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495</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496</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497</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498</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499</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500</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501</v>
      </c>
      <c r="C2" s="397" t="s">
        <v>502</v>
      </c>
      <c r="D2" s="397" t="s">
        <v>503</v>
      </c>
      <c r="E2" s="397" t="s">
        <v>504</v>
      </c>
      <c r="F2" s="397" t="s">
        <v>505</v>
      </c>
      <c r="G2" s="398" t="s">
        <v>506</v>
      </c>
      <c r="H2" s="399" t="s">
        <v>507</v>
      </c>
      <c r="I2" s="395"/>
      <c r="J2" s="395"/>
      <c r="K2" s="395"/>
      <c r="L2" s="395"/>
      <c r="M2" s="395"/>
      <c r="N2" s="395"/>
      <c r="O2" s="395"/>
      <c r="P2" s="395"/>
      <c r="Q2" s="395"/>
      <c r="R2" s="395"/>
      <c r="S2" s="395"/>
      <c r="T2" s="395"/>
      <c r="U2" s="395"/>
      <c r="V2" s="395"/>
      <c r="W2" s="395"/>
      <c r="X2" s="395"/>
      <c r="Y2" s="395"/>
      <c r="Z2" s="395"/>
    </row>
    <row r="3" ht="12.75" hidden="1" customHeight="1">
      <c r="A3" s="395"/>
      <c r="B3" s="400" t="s">
        <v>508</v>
      </c>
      <c r="C3" s="401" t="s">
        <v>509</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510</v>
      </c>
      <c r="C4" s="407" t="s">
        <v>511</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510</v>
      </c>
      <c r="C5" s="407" t="s">
        <v>511</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510</v>
      </c>
      <c r="C6" s="407" t="s">
        <v>511</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510</v>
      </c>
      <c r="C7" s="407" t="s">
        <v>512</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510</v>
      </c>
      <c r="C8" s="407" t="s">
        <v>512</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510</v>
      </c>
      <c r="C9" s="407" t="s">
        <v>512</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510</v>
      </c>
      <c r="C10" s="407" t="s">
        <v>512</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510</v>
      </c>
      <c r="C11" s="407" t="s">
        <v>512</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510</v>
      </c>
      <c r="C12" s="407" t="s">
        <v>512</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510</v>
      </c>
      <c r="C13" s="407" t="s">
        <v>512</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510</v>
      </c>
      <c r="C14" s="407" t="s">
        <v>512</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510</v>
      </c>
      <c r="C15" s="407" t="s">
        <v>513</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510</v>
      </c>
      <c r="C16" s="407" t="s">
        <v>513</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510</v>
      </c>
      <c r="C17" s="407" t="s">
        <v>513</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510</v>
      </c>
      <c r="C18" s="407" t="s">
        <v>513</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510</v>
      </c>
      <c r="C19" s="407" t="s">
        <v>513</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510</v>
      </c>
      <c r="C20" s="407" t="s">
        <v>513</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510</v>
      </c>
      <c r="C21" s="407" t="s">
        <v>514</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510</v>
      </c>
      <c r="C22" s="407" t="s">
        <v>514</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510</v>
      </c>
      <c r="C23" s="407" t="s">
        <v>514</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510</v>
      </c>
      <c r="C24" s="407" t="s">
        <v>514</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510</v>
      </c>
      <c r="C25" s="407" t="s">
        <v>514</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510</v>
      </c>
      <c r="C26" s="407" t="s">
        <v>515</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510</v>
      </c>
      <c r="C27" s="407" t="s">
        <v>515</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510</v>
      </c>
      <c r="C28" s="407" t="s">
        <v>515</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510</v>
      </c>
      <c r="C29" s="407" t="s">
        <v>516</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510</v>
      </c>
      <c r="C30" s="407" t="s">
        <v>516</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517</v>
      </c>
      <c r="C31" s="407" t="s">
        <v>518</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517</v>
      </c>
      <c r="C32" s="407" t="s">
        <v>519</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517</v>
      </c>
      <c r="C33" s="407" t="s">
        <v>520</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517</v>
      </c>
      <c r="C34" s="407" t="s">
        <v>521</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522</v>
      </c>
      <c r="C35" s="407" t="s">
        <v>523</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522</v>
      </c>
      <c r="C36" s="407" t="s">
        <v>523</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522</v>
      </c>
      <c r="C37" s="407" t="s">
        <v>523</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522</v>
      </c>
      <c r="C38" s="407" t="s">
        <v>524</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522</v>
      </c>
      <c r="C39" s="407" t="s">
        <v>524</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522</v>
      </c>
      <c r="C40" s="407" t="s">
        <v>524</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522</v>
      </c>
      <c r="C41" s="407" t="s">
        <v>525</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522</v>
      </c>
      <c r="C42" s="407" t="s">
        <v>526</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522</v>
      </c>
      <c r="C43" s="407" t="s">
        <v>526</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522</v>
      </c>
      <c r="C44" s="407" t="s">
        <v>527</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522</v>
      </c>
      <c r="C45" s="407" t="s">
        <v>527</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522</v>
      </c>
      <c r="C46" s="407" t="s">
        <v>528</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522</v>
      </c>
      <c r="C47" s="407" t="s">
        <v>528</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522</v>
      </c>
      <c r="C48" s="407" t="s">
        <v>528</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522</v>
      </c>
      <c r="C49" s="407" t="s">
        <v>529</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522</v>
      </c>
      <c r="C50" s="407" t="s">
        <v>530</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522</v>
      </c>
      <c r="C51" s="407" t="s">
        <v>530</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522</v>
      </c>
      <c r="C52" s="407" t="s">
        <v>530</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522</v>
      </c>
      <c r="C53" s="407" t="s">
        <v>531</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522</v>
      </c>
      <c r="C54" s="407" t="s">
        <v>532</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522</v>
      </c>
      <c r="C55" s="407" t="s">
        <v>532</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522</v>
      </c>
      <c r="C56" s="407" t="s">
        <v>532</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522</v>
      </c>
      <c r="C57" s="407" t="s">
        <v>532</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522</v>
      </c>
      <c r="C58" s="407" t="s">
        <v>532</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533</v>
      </c>
      <c r="C59" s="407" t="s">
        <v>534</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533</v>
      </c>
      <c r="C60" s="407" t="s">
        <v>534</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533</v>
      </c>
      <c r="C61" s="407" t="s">
        <v>534</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533</v>
      </c>
      <c r="C62" s="407" t="s">
        <v>534</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533</v>
      </c>
      <c r="C63" s="407" t="s">
        <v>534</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533</v>
      </c>
      <c r="C64" s="407" t="s">
        <v>535</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533</v>
      </c>
      <c r="C65" s="407" t="s">
        <v>536</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533</v>
      </c>
      <c r="C66" s="407" t="s">
        <v>537</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533</v>
      </c>
      <c r="C67" s="407" t="s">
        <v>538</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539</v>
      </c>
      <c r="C68" s="407" t="s">
        <v>540</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539</v>
      </c>
      <c r="C69" s="407" t="s">
        <v>540</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539</v>
      </c>
      <c r="C70" s="407" t="s">
        <v>540</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539</v>
      </c>
      <c r="C71" s="407" t="s">
        <v>540</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539</v>
      </c>
      <c r="C72" s="407" t="s">
        <v>540</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539</v>
      </c>
      <c r="C73" s="407" t="s">
        <v>540</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539</v>
      </c>
      <c r="C74" s="407" t="s">
        <v>540</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539</v>
      </c>
      <c r="C75" s="407" t="s">
        <v>540</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541</v>
      </c>
      <c r="C76" s="407" t="s">
        <v>542</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541</v>
      </c>
      <c r="C77" s="407" t="s">
        <v>543</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541</v>
      </c>
      <c r="C78" s="407" t="s">
        <v>544</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541</v>
      </c>
      <c r="C79" s="417" t="s">
        <v>545</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541</v>
      </c>
      <c r="C80" s="407" t="s">
        <v>546</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541</v>
      </c>
      <c r="C81" s="417" t="s">
        <v>547</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541</v>
      </c>
      <c r="C82" s="407" t="s">
        <v>548</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541</v>
      </c>
      <c r="C83" s="417" t="s">
        <v>549</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550</v>
      </c>
      <c r="C84" s="407" t="s">
        <v>551</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550</v>
      </c>
      <c r="C85" s="407" t="s">
        <v>551</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550</v>
      </c>
      <c r="C86" s="407" t="s">
        <v>551</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550</v>
      </c>
      <c r="C87" s="407" t="s">
        <v>551</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552</v>
      </c>
      <c r="C88" s="407" t="s">
        <v>553</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552</v>
      </c>
      <c r="C89" s="407" t="s">
        <v>554</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552</v>
      </c>
      <c r="C90" s="407" t="s">
        <v>555</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552</v>
      </c>
      <c r="C91" s="407" t="s">
        <v>556</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552</v>
      </c>
      <c r="C92" s="407" t="s">
        <v>557</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552</v>
      </c>
      <c r="C93" s="407" t="s">
        <v>558</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559</v>
      </c>
      <c r="C94" s="407" t="s">
        <v>560</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559</v>
      </c>
      <c r="C95" s="407" t="s">
        <v>560</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559</v>
      </c>
      <c r="C96" s="407" t="s">
        <v>560</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559</v>
      </c>
      <c r="C97" s="407" t="s">
        <v>561</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559</v>
      </c>
      <c r="C98" s="407" t="s">
        <v>562</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559</v>
      </c>
      <c r="C99" s="407" t="s">
        <v>563</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559</v>
      </c>
      <c r="C100" s="407" t="s">
        <v>564</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559</v>
      </c>
      <c r="C101" s="407" t="s">
        <v>565</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559</v>
      </c>
      <c r="C102" s="407" t="s">
        <v>565</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559</v>
      </c>
      <c r="C103" s="407" t="s">
        <v>566</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559</v>
      </c>
      <c r="C104" s="407" t="s">
        <v>567</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559</v>
      </c>
      <c r="C105" s="407" t="s">
        <v>568</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559</v>
      </c>
      <c r="C106" s="417" t="s">
        <v>569</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570</v>
      </c>
      <c r="C107" s="407" t="s">
        <v>571</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570</v>
      </c>
      <c r="C108" s="407" t="s">
        <v>571</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570</v>
      </c>
      <c r="C109" s="407" t="s">
        <v>572</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570</v>
      </c>
      <c r="C110" s="407" t="s">
        <v>572</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570</v>
      </c>
      <c r="C111" s="407" t="s">
        <v>573</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570</v>
      </c>
      <c r="C112" s="407" t="s">
        <v>573</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570</v>
      </c>
      <c r="C113" s="407" t="s">
        <v>574</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570</v>
      </c>
      <c r="C114" s="407" t="s">
        <v>575</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570</v>
      </c>
      <c r="C115" s="407" t="s">
        <v>575</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570</v>
      </c>
      <c r="C116" s="407" t="s">
        <v>575</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570</v>
      </c>
      <c r="C117" s="407" t="s">
        <v>576</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570</v>
      </c>
      <c r="C118" s="407" t="s">
        <v>576</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570</v>
      </c>
      <c r="C119" s="407" t="s">
        <v>576</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570</v>
      </c>
      <c r="C120" s="407" t="s">
        <v>576</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570</v>
      </c>
      <c r="C121" s="407" t="s">
        <v>576</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570</v>
      </c>
      <c r="C122" s="407" t="s">
        <v>577</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570</v>
      </c>
      <c r="C123" s="407" t="s">
        <v>577</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570</v>
      </c>
      <c r="C124" s="407" t="s">
        <v>577</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570</v>
      </c>
      <c r="C125" s="407" t="s">
        <v>578</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570</v>
      </c>
      <c r="C126" s="407" t="s">
        <v>578</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570</v>
      </c>
      <c r="C127" s="407" t="s">
        <v>579</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570</v>
      </c>
      <c r="C128" s="407" t="s">
        <v>579</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570</v>
      </c>
      <c r="C129" s="407" t="s">
        <v>580</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570</v>
      </c>
      <c r="C130" s="407" t="s">
        <v>580</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570</v>
      </c>
      <c r="C131" s="407" t="s">
        <v>580</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570</v>
      </c>
      <c r="C132" s="407" t="s">
        <v>580</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570</v>
      </c>
      <c r="C133" s="407" t="s">
        <v>581</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570</v>
      </c>
      <c r="C134" s="407" t="s">
        <v>581</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570</v>
      </c>
      <c r="C135" s="407" t="s">
        <v>582</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570</v>
      </c>
      <c r="C136" s="407" t="s">
        <v>583</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570</v>
      </c>
      <c r="C137" s="407" t="s">
        <v>583</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570</v>
      </c>
      <c r="C138" s="407" t="s">
        <v>583</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570</v>
      </c>
      <c r="C139" s="407" t="s">
        <v>584</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570</v>
      </c>
      <c r="C140" s="407" t="s">
        <v>584</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570</v>
      </c>
      <c r="C141" s="407" t="s">
        <v>584</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570</v>
      </c>
      <c r="C142" s="407" t="s">
        <v>584</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585</v>
      </c>
      <c r="C143" s="407" t="s">
        <v>586</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585</v>
      </c>
      <c r="C144" s="407" t="s">
        <v>587</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585</v>
      </c>
      <c r="C145" s="407" t="s">
        <v>588</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585</v>
      </c>
      <c r="C146" s="407" t="s">
        <v>589</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585</v>
      </c>
      <c r="C147" s="407" t="s">
        <v>590</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585</v>
      </c>
      <c r="C148" s="407" t="s">
        <v>591</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585</v>
      </c>
      <c r="C149" s="407" t="s">
        <v>592</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585</v>
      </c>
      <c r="C150" s="407" t="s">
        <v>593</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585</v>
      </c>
      <c r="C151" s="407" t="s">
        <v>594</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585</v>
      </c>
      <c r="C152" s="407" t="s">
        <v>595</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585</v>
      </c>
      <c r="C153" s="407" t="s">
        <v>596</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585</v>
      </c>
      <c r="C154" s="407" t="s">
        <v>597</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585</v>
      </c>
      <c r="C155" s="407" t="s">
        <v>598</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585</v>
      </c>
      <c r="C156" s="407" t="s">
        <v>599</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585</v>
      </c>
      <c r="C157" s="407" t="s">
        <v>600</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601</v>
      </c>
      <c r="C158" s="407" t="s">
        <v>602</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601</v>
      </c>
      <c r="C159" s="407" t="s">
        <v>603</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601</v>
      </c>
      <c r="C160" s="407" t="s">
        <v>604</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601</v>
      </c>
      <c r="C161" s="407" t="s">
        <v>605</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601</v>
      </c>
      <c r="C162" s="407" t="s">
        <v>606</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601</v>
      </c>
      <c r="C163" s="407" t="s">
        <v>607</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601</v>
      </c>
      <c r="C164" s="407" t="s">
        <v>608</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601</v>
      </c>
      <c r="C165" s="407" t="s">
        <v>609</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601</v>
      </c>
      <c r="C166" s="407" t="s">
        <v>610</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601</v>
      </c>
      <c r="C167" s="407" t="s">
        <v>611</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601</v>
      </c>
      <c r="C168" s="407" t="s">
        <v>612</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601</v>
      </c>
      <c r="C169" s="407" t="s">
        <v>613</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601</v>
      </c>
      <c r="C170" s="407" t="s">
        <v>614</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615</v>
      </c>
      <c r="C171" s="407" t="s">
        <v>616</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615</v>
      </c>
      <c r="C172" s="407" t="s">
        <v>617</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615</v>
      </c>
      <c r="C173" s="407" t="s">
        <v>617</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615</v>
      </c>
      <c r="C174" s="407" t="s">
        <v>617</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615</v>
      </c>
      <c r="C175" s="407" t="s">
        <v>618</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615</v>
      </c>
      <c r="C176" s="407" t="s">
        <v>618</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615</v>
      </c>
      <c r="C177" s="407" t="s">
        <v>618</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615</v>
      </c>
      <c r="C178" s="407" t="s">
        <v>618</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615</v>
      </c>
      <c r="C179" s="407" t="s">
        <v>619</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615</v>
      </c>
      <c r="C180" s="407" t="s">
        <v>619</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615</v>
      </c>
      <c r="C181" s="407" t="s">
        <v>619</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615</v>
      </c>
      <c r="C182" s="407" t="s">
        <v>620</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615</v>
      </c>
      <c r="C183" s="407" t="s">
        <v>620</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615</v>
      </c>
      <c r="C184" s="407" t="s">
        <v>620</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615</v>
      </c>
      <c r="C185" s="407" t="s">
        <v>621</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615</v>
      </c>
      <c r="C186" s="407" t="s">
        <v>622</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615</v>
      </c>
      <c r="C187" s="407" t="s">
        <v>623</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615</v>
      </c>
      <c r="C188" s="407" t="s">
        <v>623</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615</v>
      </c>
      <c r="C189" s="407" t="s">
        <v>623</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14" t="s">
        <v>624</v>
      </c>
      <c r="C190" s="407" t="s">
        <v>625</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626</v>
      </c>
      <c r="C191" s="407" t="s">
        <v>627</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626</v>
      </c>
      <c r="C192" s="407" t="s">
        <v>628</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626</v>
      </c>
      <c r="C193" s="407" t="s">
        <v>629</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626</v>
      </c>
      <c r="C194" s="407" t="s">
        <v>629</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626</v>
      </c>
      <c r="C195" s="407" t="s">
        <v>629</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626</v>
      </c>
      <c r="C196" s="407" t="s">
        <v>629</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626</v>
      </c>
      <c r="C197" s="407" t="s">
        <v>630</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626</v>
      </c>
      <c r="C198" s="407" t="s">
        <v>631</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626</v>
      </c>
      <c r="C199" s="407" t="s">
        <v>632</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626</v>
      </c>
      <c r="C200" s="407" t="s">
        <v>633</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626</v>
      </c>
      <c r="C201" s="407" t="s">
        <v>633</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626</v>
      </c>
      <c r="C202" s="407" t="s">
        <v>634</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626</v>
      </c>
      <c r="C203" s="407" t="s">
        <v>635</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626</v>
      </c>
      <c r="C204" s="407" t="s">
        <v>636</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626</v>
      </c>
      <c r="C205" s="407" t="s">
        <v>637</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626</v>
      </c>
      <c r="C206" s="407" t="s">
        <v>638</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626</v>
      </c>
      <c r="C207" s="407" t="s">
        <v>639</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626</v>
      </c>
      <c r="C208" s="407" t="s">
        <v>640</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626</v>
      </c>
      <c r="C209" s="407" t="s">
        <v>641</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626</v>
      </c>
      <c r="C210" s="407" t="s">
        <v>641</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642</v>
      </c>
      <c r="C211" s="407" t="s">
        <v>643</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642</v>
      </c>
      <c r="C212" s="407" t="s">
        <v>643</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644</v>
      </c>
      <c r="C213" s="407" t="s">
        <v>645</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644</v>
      </c>
      <c r="C214" s="407" t="s">
        <v>645</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644</v>
      </c>
      <c r="C215" s="407" t="s">
        <v>645</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644</v>
      </c>
      <c r="C216" s="421" t="s">
        <v>646</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 val="Porcellana"/>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71</v>
      </c>
      <c r="C1" s="426" t="s">
        <v>71</v>
      </c>
      <c r="D1" s="395"/>
      <c r="E1" s="395"/>
      <c r="F1" s="395"/>
      <c r="G1" s="395"/>
      <c r="H1" s="395"/>
      <c r="I1" s="395"/>
      <c r="J1" s="395"/>
      <c r="K1" s="395"/>
      <c r="L1" s="427" t="s">
        <v>647</v>
      </c>
      <c r="M1" s="427" t="s">
        <v>648</v>
      </c>
      <c r="N1" s="427" t="s">
        <v>649</v>
      </c>
      <c r="O1" s="427" t="s">
        <v>650</v>
      </c>
      <c r="P1" s="427" t="s">
        <v>651</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652</v>
      </c>
      <c r="N2" s="395"/>
      <c r="O2" s="395"/>
      <c r="P2" s="427" t="s">
        <v>653</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f>'Calcoli componente'!$L$40*COS('Calcoli componente'!$S$26*(Dati!$L3+'Calcoli componente'!$K$37)*3600)</f>
        <v>1.973323787</v>
      </c>
      <c r="O3" s="429">
        <f>'Calcoli componente'!$L$47*COS('Calcoli componente'!$S$26*(Dati!$L3+'Calcoli componente'!$K$44)*3600)</f>
        <v>3.643921578</v>
      </c>
      <c r="P3" s="429">
        <f>'Calcoli componente'!$L$33*COS('Calcoli componente'!$S$26*(Dati!$L3+'Calcoli componente'!$K$30)*3600)</f>
        <v>-0.1967375632</v>
      </c>
      <c r="Q3" s="395"/>
      <c r="R3" s="395"/>
      <c r="S3" s="395"/>
      <c r="T3" s="395"/>
      <c r="U3" s="395"/>
      <c r="V3" s="395"/>
      <c r="W3" s="395"/>
      <c r="X3" s="395"/>
      <c r="Y3" s="395"/>
      <c r="Z3" s="395"/>
    </row>
    <row r="4" ht="12.75" customHeight="1">
      <c r="A4" s="395"/>
      <c r="B4" s="426">
        <v>0.0</v>
      </c>
      <c r="C4" s="426">
        <v>0.0</v>
      </c>
      <c r="D4" s="395"/>
      <c r="E4" s="395" t="s">
        <v>654</v>
      </c>
      <c r="F4" s="428">
        <f>'Calcoli componente'!L26</f>
        <v>2.089337176</v>
      </c>
      <c r="G4" s="428">
        <v>0.0</v>
      </c>
      <c r="H4" s="395"/>
      <c r="I4" s="395"/>
      <c r="J4" s="395"/>
      <c r="K4" s="395"/>
      <c r="L4" s="426">
        <f>L3+'Calcoli componente'!$R$26/24</f>
        <v>1</v>
      </c>
      <c r="M4" s="429">
        <f>COS('Calcoli componente'!$S$26*Dati!$L4*3600)</f>
        <v>0.9659258263</v>
      </c>
      <c r="N4" s="429">
        <f>'Calcoli componente'!$L$40*COS('Calcoli componente'!$S$26*(Dati!$L4+'Calcoli componente'!$K$37)*3600)</f>
        <v>1.77554867</v>
      </c>
      <c r="O4" s="429">
        <f>'Calcoli componente'!$L$47*COS('Calcoli componente'!$S$26*(Dati!$L4+'Calcoli componente'!$K$44)*3600)</f>
        <v>2.969608093</v>
      </c>
      <c r="P4" s="429">
        <f>'Calcoli componente'!$L$33*COS('Calcoli componente'!$S$26*(Dati!$L4+'Calcoli componente'!$K$30)*3600)</f>
        <v>-0.1347395949</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f>'Calcoli componente'!$L$40*COS('Calcoli componente'!$S$26*(Dati!$L5+'Calcoli componente'!$K$37)*3600)</f>
        <v>1.456772845</v>
      </c>
      <c r="O5" s="429">
        <f>'Calcoli componente'!$L$47*COS('Calcoli componente'!$S$26*(Dati!$L5+'Calcoli componente'!$K$44)*3600)</f>
        <v>2.092920724</v>
      </c>
      <c r="P5" s="429">
        <f>'Calcoli componente'!$L$33*COS('Calcoli componente'!$S$26*(Dati!$L5+'Calcoli componente'!$K$30)*3600)</f>
        <v>-0.06355934589</v>
      </c>
      <c r="Q5" s="395"/>
      <c r="R5" s="395"/>
      <c r="S5" s="395"/>
      <c r="T5" s="395"/>
      <c r="U5" s="395"/>
      <c r="V5" s="395"/>
      <c r="W5" s="395"/>
      <c r="X5" s="395"/>
      <c r="Y5" s="395"/>
      <c r="Z5" s="395"/>
    </row>
    <row r="6" ht="12.75" customHeight="1">
      <c r="A6" s="395"/>
      <c r="B6" s="426">
        <f>B5+'Caratteristiche componente'!$D8</f>
        <v>31</v>
      </c>
      <c r="C6" s="426">
        <f>C5+'Caratteristiche componente'!$D8</f>
        <v>31</v>
      </c>
      <c r="D6" s="395"/>
      <c r="E6" s="395"/>
      <c r="F6" s="428">
        <v>0.0</v>
      </c>
      <c r="G6" s="428">
        <v>0.0</v>
      </c>
      <c r="H6" s="395"/>
      <c r="I6" s="395"/>
      <c r="J6" s="395"/>
      <c r="K6" s="395"/>
      <c r="L6" s="426">
        <f>L5+'Calcoli componente'!$R$26/24</f>
        <v>3</v>
      </c>
      <c r="M6" s="429">
        <f>COS('Calcoli componente'!$S$26*Dati!$L6*3600)</f>
        <v>0.7071067812</v>
      </c>
      <c r="N6" s="429">
        <f>'Calcoli componente'!$L$40*COS('Calcoli componente'!$S$26*(Dati!$L6+'Calcoli componente'!$K$37)*3600)</f>
        <v>1.038720358</v>
      </c>
      <c r="O6" s="429">
        <f>'Calcoli componente'!$L$47*COS('Calcoli componente'!$S$26*(Dati!$L6+'Calcoli componente'!$K$44)*3600)</f>
        <v>1.073604267</v>
      </c>
      <c r="P6" s="429">
        <f>'Calcoli componente'!$L$33*COS('Calcoli componente'!$S$26*(Dati!$L6+'Calcoli componente'!$K$30)*3600)</f>
        <v>0.0119523675</v>
      </c>
      <c r="Q6" s="395"/>
      <c r="R6" s="395"/>
      <c r="S6" s="395"/>
      <c r="T6" s="395"/>
      <c r="U6" s="395"/>
      <c r="V6" s="395"/>
      <c r="W6" s="395"/>
      <c r="X6" s="395"/>
      <c r="Y6" s="395"/>
      <c r="Z6" s="395"/>
    </row>
    <row r="7" ht="12.75" customHeight="1">
      <c r="A7" s="395"/>
      <c r="B7" s="426">
        <f>B6+'Caratteristiche componente'!$D9</f>
        <v>31</v>
      </c>
      <c r="C7" s="426">
        <f>C6+'Caratteristiche componente'!$D9</f>
        <v>31</v>
      </c>
      <c r="D7" s="395"/>
      <c r="E7" s="395" t="s">
        <v>655</v>
      </c>
      <c r="F7" s="428">
        <f>'Calcoli componente'!$AR$28</f>
        <v>4.122938747</v>
      </c>
      <c r="G7" s="428">
        <f>'Calcoli componente'!$AS$28</f>
        <v>1.053760063</v>
      </c>
      <c r="H7" s="395"/>
      <c r="I7" s="395"/>
      <c r="J7" s="395"/>
      <c r="K7" s="395"/>
      <c r="L7" s="426">
        <f>L6+'Calcoli componente'!$R$26/24</f>
        <v>4</v>
      </c>
      <c r="M7" s="429">
        <f>COS('Calcoli componente'!$S$26*Dati!$L7*3600)</f>
        <v>0.5</v>
      </c>
      <c r="N7" s="429">
        <f>'Calcoli componente'!$L$40*COS('Calcoli componente'!$S$26*(Dati!$L7+'Calcoli componente'!$K$37)*3600)</f>
        <v>0.5498807961</v>
      </c>
      <c r="O7" s="429">
        <f>'Calcoli componente'!$L$47*COS('Calcoli componente'!$S$26*(Dati!$L7+'Calcoli componente'!$K$44)*3600)</f>
        <v>-0.01887654723</v>
      </c>
      <c r="P7" s="429">
        <f>'Calcoli componente'!$L$33*COS('Calcoli componente'!$S$26*(Dati!$L7+'Calcoli componente'!$K$30)*3600)</f>
        <v>0.08664954681</v>
      </c>
      <c r="Q7" s="395"/>
      <c r="R7" s="395"/>
      <c r="S7" s="395"/>
      <c r="T7" s="395"/>
      <c r="U7" s="395"/>
      <c r="V7" s="395"/>
      <c r="W7" s="395"/>
      <c r="X7" s="395"/>
      <c r="Y7" s="395"/>
      <c r="Z7" s="395"/>
    </row>
    <row r="8" ht="12.75" customHeight="1">
      <c r="A8" s="395"/>
      <c r="B8" s="426">
        <f>B7+'Caratteristiche componente'!$D10</f>
        <v>31</v>
      </c>
      <c r="C8" s="426">
        <f>C7+'Caratteristiche componente'!$D10</f>
        <v>31</v>
      </c>
      <c r="D8" s="395"/>
      <c r="E8" s="395"/>
      <c r="F8" s="395"/>
      <c r="G8" s="395"/>
      <c r="H8" s="395"/>
      <c r="I8" s="395"/>
      <c r="J8" s="395"/>
      <c r="K8" s="395"/>
      <c r="L8" s="426">
        <f>L7+'Calcoli componente'!$R$26/24</f>
        <v>5</v>
      </c>
      <c r="M8" s="429">
        <f>COS('Calcoli componente'!$S$26*Dati!$L8*3600)</f>
        <v>0.2588190451</v>
      </c>
      <c r="N8" s="429">
        <f>'Calcoli componente'!$L$40*COS('Calcoli componente'!$S$26*(Dati!$L8+'Calcoli componente'!$K$37)*3600)</f>
        <v>0.02356776613</v>
      </c>
      <c r="O8" s="429">
        <f>'Calcoli componente'!$L$47*COS('Calcoli componente'!$S$26*(Dati!$L8+'Calcoli componente'!$K$44)*3600)</f>
        <v>-1.110070956</v>
      </c>
      <c r="P8" s="429">
        <f>'Calcoli componente'!$L$33*COS('Calcoli componente'!$S$26*(Dati!$L8+'Calcoli componente'!$K$30)*3600)</f>
        <v>0.1554417027</v>
      </c>
      <c r="Q8" s="395"/>
      <c r="R8" s="395"/>
      <c r="S8" s="395"/>
      <c r="T8" s="395"/>
      <c r="U8" s="395"/>
      <c r="V8" s="395"/>
      <c r="W8" s="395"/>
      <c r="X8" s="395"/>
      <c r="Y8" s="395"/>
      <c r="Z8" s="395"/>
    </row>
    <row r="9" ht="12.75" customHeight="1">
      <c r="A9" s="395"/>
      <c r="B9" s="426">
        <f>B8+'Caratteristiche componente'!$D11</f>
        <v>31</v>
      </c>
      <c r="C9" s="426">
        <f>C8+'Caratteristiche componente'!$D11</f>
        <v>31</v>
      </c>
      <c r="D9" s="395"/>
      <c r="E9" s="395"/>
      <c r="F9" s="428">
        <v>0.0</v>
      </c>
      <c r="G9" s="428">
        <v>0.0</v>
      </c>
      <c r="H9" s="395"/>
      <c r="I9" s="395"/>
      <c r="J9" s="395"/>
      <c r="K9" s="395"/>
      <c r="L9" s="426">
        <f>L8+'Calcoli componente'!$R$26/24</f>
        <v>6</v>
      </c>
      <c r="M9" s="429">
        <f>COS('Calcoli componente'!$S$26*Dati!$L9*3600)</f>
        <v>0</v>
      </c>
      <c r="N9" s="429">
        <f>'Calcoli componente'!$L$40*COS('Calcoli componente'!$S$26*(Dati!$L9+'Calcoli componente'!$K$37)*3600)</f>
        <v>-0.5043513681</v>
      </c>
      <c r="O9" s="429">
        <f>'Calcoli componente'!$L$47*COS('Calcoli componente'!$S$26*(Dati!$L9+'Calcoli componente'!$K$44)*3600)</f>
        <v>-2.125615863</v>
      </c>
      <c r="P9" s="429">
        <f>'Calcoli componente'!$L$33*COS('Calcoli componente'!$S$26*(Dati!$L9+'Calcoli componente'!$K$30)*3600)</f>
        <v>0.2136407634</v>
      </c>
      <c r="Q9" s="395"/>
      <c r="R9" s="395"/>
      <c r="S9" s="395"/>
      <c r="T9" s="395"/>
      <c r="U9" s="395"/>
      <c r="V9" s="395"/>
      <c r="W9" s="395"/>
      <c r="X9" s="395"/>
      <c r="Y9" s="395"/>
      <c r="Z9" s="395"/>
    </row>
    <row r="10" ht="12.75" customHeight="1">
      <c r="A10" s="395"/>
      <c r="B10" s="426">
        <f>B9+'Caratteristiche componente'!$D12</f>
        <v>31</v>
      </c>
      <c r="C10" s="426">
        <f>C9+'Caratteristiche componente'!$D12</f>
        <v>31</v>
      </c>
      <c r="D10" s="395"/>
      <c r="E10" s="395" t="s">
        <v>656</v>
      </c>
      <c r="F10" s="428">
        <f>'Calcoli componente'!$AW$28</f>
        <v>7.613380818</v>
      </c>
      <c r="G10" s="428">
        <f>'Calcoli componente'!$AX$28</f>
        <v>4.441128244</v>
      </c>
      <c r="H10" s="395"/>
      <c r="I10" s="395"/>
      <c r="J10" s="395"/>
      <c r="K10" s="395"/>
      <c r="L10" s="426">
        <f>L9+'Calcoli componente'!$R$26/24</f>
        <v>7</v>
      </c>
      <c r="M10" s="429">
        <f>COS('Calcoli componente'!$S$26*Dati!$L10*3600)</f>
        <v>-0.2588190451</v>
      </c>
      <c r="N10" s="429">
        <f>'Calcoli componente'!$L$40*COS('Calcoli componente'!$S$26*(Dati!$L10+'Calcoli componente'!$K$37)*3600)</f>
        <v>-0.9978997901</v>
      </c>
      <c r="O10" s="429">
        <f>'Calcoli componente'!$L$47*COS('Calcoli componente'!$S$26*(Dati!$L10+'Calcoli componente'!$K$44)*3600)</f>
        <v>-2.996303562</v>
      </c>
      <c r="P10" s="429">
        <f>'Calcoli componente'!$L$33*COS('Calcoli componente'!$S$26*(Dati!$L10+'Calcoli componente'!$K$30)*3600)</f>
        <v>0.2572805592</v>
      </c>
      <c r="Q10" s="395"/>
      <c r="R10" s="395"/>
      <c r="S10" s="395"/>
      <c r="T10" s="395"/>
      <c r="U10" s="395"/>
      <c r="V10" s="395"/>
      <c r="W10" s="395"/>
      <c r="X10" s="395"/>
      <c r="Y10" s="395"/>
      <c r="Z10" s="395"/>
    </row>
    <row r="11" ht="12.75" customHeight="1">
      <c r="A11" s="395"/>
      <c r="B11" s="426">
        <f>B10+'Caratteristiche componente'!$D13</f>
        <v>31</v>
      </c>
      <c r="C11" s="426">
        <f>C10+'Caratteristiche componente'!$D13</f>
        <v>31</v>
      </c>
      <c r="D11" s="395"/>
      <c r="E11" s="395"/>
      <c r="F11" s="395"/>
      <c r="G11" s="395"/>
      <c r="H11" s="395"/>
      <c r="I11" s="395"/>
      <c r="J11" s="395"/>
      <c r="K11" s="395"/>
      <c r="L11" s="426">
        <f>L10+'Calcoli componente'!$R$26/24</f>
        <v>8</v>
      </c>
      <c r="M11" s="429">
        <f>COS('Calcoli componente'!$S$26*Dati!$L11*3600)</f>
        <v>-0.5</v>
      </c>
      <c r="N11" s="429">
        <f>'Calcoli componente'!$L$40*COS('Calcoli componente'!$S$26*(Dati!$L11+'Calcoli componente'!$K$37)*3600)</f>
        <v>-1.423442991</v>
      </c>
      <c r="O11" s="429">
        <f>'Calcoli componente'!$L$47*COS('Calcoli componente'!$S$26*(Dati!$L11+'Calcoli componente'!$K$44)*3600)</f>
        <v>-3.662798125</v>
      </c>
      <c r="P11" s="429">
        <f>'Calcoli componente'!$L$33*COS('Calcoli componente'!$S$26*(Dati!$L11+'Calcoli componente'!$K$30)*3600)</f>
        <v>0.28338711</v>
      </c>
      <c r="Q11" s="395"/>
      <c r="R11" s="395"/>
      <c r="S11" s="395"/>
      <c r="T11" s="395"/>
      <c r="U11" s="395"/>
      <c r="V11" s="395"/>
      <c r="W11" s="395"/>
      <c r="X11" s="395"/>
      <c r="Y11" s="395"/>
      <c r="Z11" s="395"/>
    </row>
    <row r="12" ht="12.75" customHeight="1">
      <c r="A12" s="395"/>
      <c r="B12" s="426">
        <f>B11+'Caratteristiche componente'!$D14</f>
        <v>31</v>
      </c>
      <c r="C12" s="426">
        <f>C11+'Caratteristiche componente'!$D14</f>
        <v>31</v>
      </c>
      <c r="D12" s="395"/>
      <c r="E12" s="395"/>
      <c r="F12" s="428">
        <v>0.0</v>
      </c>
      <c r="G12" s="428">
        <v>-0.02</v>
      </c>
      <c r="H12" s="395"/>
      <c r="I12" s="395"/>
      <c r="J12" s="395"/>
      <c r="K12" s="395"/>
      <c r="L12" s="426">
        <f>L11+'Calcoli componente'!$R$26/24</f>
        <v>9</v>
      </c>
      <c r="M12" s="429">
        <f>COS('Calcoli componente'!$S$26*Dati!$L12*3600)</f>
        <v>-0.7071067812</v>
      </c>
      <c r="N12" s="429">
        <f>'Calcoli componente'!$L$40*COS('Calcoli componente'!$S$26*(Dati!$L12+'Calcoli componente'!$K$37)*3600)</f>
        <v>-1.751980903</v>
      </c>
      <c r="O12" s="429">
        <f>'Calcoli componente'!$L$47*COS('Calcoli componente'!$S$26*(Dati!$L12+'Calcoli componente'!$K$44)*3600)</f>
        <v>-4.079679048</v>
      </c>
      <c r="P12" s="429">
        <f>'Calcoli componente'!$L$33*COS('Calcoli componente'!$S$26*(Dati!$L12+'Calcoli componente'!$K$30)*3600)</f>
        <v>0.2901812976</v>
      </c>
      <c r="Q12" s="395"/>
      <c r="R12" s="395"/>
      <c r="S12" s="395"/>
      <c r="T12" s="395"/>
      <c r="U12" s="395"/>
      <c r="V12" s="395"/>
      <c r="W12" s="395"/>
      <c r="X12" s="395"/>
      <c r="Y12" s="395"/>
      <c r="Z12" s="395"/>
    </row>
    <row r="13" ht="12.75" customHeight="1">
      <c r="A13" s="395"/>
      <c r="B13" s="426">
        <f>B12+'Caratteristiche componente'!$D15</f>
        <v>31</v>
      </c>
      <c r="C13" s="426">
        <f>C12+'Caratteristiche componente'!$D15</f>
        <v>31</v>
      </c>
      <c r="D13" s="395"/>
      <c r="E13" s="395" t="s">
        <v>657</v>
      </c>
      <c r="F13" s="428">
        <f>'Calcoli componente'!$BB$28</f>
        <v>-0.4110511046</v>
      </c>
      <c r="G13" s="428">
        <f>'Calcoli componente'!$BC$28</f>
        <v>-0.4463675893</v>
      </c>
      <c r="H13" s="395"/>
      <c r="I13" s="395"/>
      <c r="J13" s="395"/>
      <c r="K13" s="395"/>
      <c r="L13" s="426">
        <f>L12+'Calcoli componente'!$R$26/24</f>
        <v>10</v>
      </c>
      <c r="M13" s="429">
        <f>COS('Calcoli componente'!$S$26*Dati!$L13*3600)</f>
        <v>-0.8660254038</v>
      </c>
      <c r="N13" s="429">
        <f>'Calcoli componente'!$L$40*COS('Calcoli componente'!$S$26*(Dati!$L13+'Calcoli componente'!$K$37)*3600)</f>
        <v>-1.961124213</v>
      </c>
      <c r="O13" s="429">
        <f>'Calcoli componente'!$L$47*COS('Calcoli componente'!$S$26*(Dati!$L13+'Calcoli componente'!$K$44)*3600)</f>
        <v>-4.218536587</v>
      </c>
      <c r="P13" s="429">
        <f>'Calcoli componente'!$L$33*COS('Calcoli componente'!$S$26*(Dati!$L13+'Calcoli componente'!$K$30)*3600)</f>
        <v>0.2772001093</v>
      </c>
      <c r="Q13" s="395"/>
      <c r="R13" s="395"/>
      <c r="S13" s="395"/>
      <c r="T13" s="395"/>
      <c r="U13" s="395"/>
      <c r="V13" s="395"/>
      <c r="W13" s="395"/>
      <c r="X13" s="395"/>
      <c r="Y13" s="395"/>
      <c r="Z13" s="395"/>
    </row>
    <row r="14" ht="12.75" customHeight="1">
      <c r="A14" s="395"/>
      <c r="B14" s="426">
        <f>B13+'Caratteristiche componente'!$D16</f>
        <v>31</v>
      </c>
      <c r="C14" s="426">
        <f>C13+'Caratteristiche componente'!$D16</f>
        <v>31</v>
      </c>
      <c r="D14" s="395"/>
      <c r="E14" s="395"/>
      <c r="F14" s="395"/>
      <c r="G14" s="395"/>
      <c r="H14" s="395"/>
      <c r="I14" s="395"/>
      <c r="J14" s="395"/>
      <c r="K14" s="395"/>
      <c r="L14" s="426">
        <f>L13+'Calcoli componente'!$R$26/24</f>
        <v>11</v>
      </c>
      <c r="M14" s="429">
        <f>COS('Calcoli componente'!$S$26*Dati!$L14*3600)</f>
        <v>-0.9659258263</v>
      </c>
      <c r="N14" s="429">
        <f>'Calcoli componente'!$L$40*COS('Calcoli componente'!$S$26*(Dati!$L14+'Calcoli componente'!$K$37)*3600)</f>
        <v>-2.036620149</v>
      </c>
      <c r="O14" s="429">
        <f>'Calcoli componente'!$L$47*COS('Calcoli componente'!$S$26*(Dati!$L14+'Calcoli componente'!$K$44)*3600)</f>
        <v>-4.069907829</v>
      </c>
      <c r="P14" s="429">
        <f>'Calcoli componente'!$L$33*COS('Calcoli componente'!$S$26*(Dati!$L14+'Calcoli componente'!$K$30)*3600)</f>
        <v>0.2453281917</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f>'Calcoli componente'!$L$40*COS('Calcoli componente'!$S$26*(Dati!$L15+'Calcoli componente'!$K$37)*3600)</f>
        <v>-1.973323787</v>
      </c>
      <c r="O15" s="429">
        <f>'Calcoli componente'!$L$47*COS('Calcoli componente'!$S$26*(Dati!$L15+'Calcoli componente'!$K$44)*3600)</f>
        <v>-3.643921578</v>
      </c>
      <c r="P15" s="429">
        <f>'Calcoli componente'!$L$33*COS('Calcoli componente'!$S$26*(Dati!$L15+'Calcoli componente'!$K$30)*3600)</f>
        <v>0.1967375632</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f>'Calcoli componente'!$L$40*COS('Calcoli componente'!$S$26*(Dati!$L16+'Calcoli componente'!$K$37)*3600)</f>
        <v>-1.77554867</v>
      </c>
      <c r="O16" s="429">
        <f>'Calcoli componente'!$L$47*COS('Calcoli componente'!$S$26*(Dati!$L16+'Calcoli componente'!$K$44)*3600)</f>
        <v>-2.969608093</v>
      </c>
      <c r="P16" s="429">
        <f>'Calcoli componente'!$L$33*COS('Calcoli componente'!$S$26*(Dati!$L16+'Calcoli componente'!$K$30)*3600)</f>
        <v>0.1347395949</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f>'Calcoli componente'!$L$40*COS('Calcoli componente'!$S$26*(Dati!$L17+'Calcoli componente'!$K$37)*3600)</f>
        <v>-1.456772845</v>
      </c>
      <c r="O17" s="429">
        <f>'Calcoli componente'!$L$47*COS('Calcoli componente'!$S$26*(Dati!$L17+'Calcoli componente'!$K$44)*3600)</f>
        <v>-2.092920724</v>
      </c>
      <c r="P17" s="429">
        <f>'Calcoli componente'!$L$33*COS('Calcoli componente'!$S$26*(Dati!$L17+'Calcoli componente'!$K$30)*3600)</f>
        <v>0.06355934589</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f>'Calcoli componente'!$L$40*COS('Calcoli componente'!$S$26*(Dati!$L18+'Calcoli componente'!$K$37)*3600)</f>
        <v>-1.038720358</v>
      </c>
      <c r="O18" s="429">
        <f>'Calcoli componente'!$L$47*COS('Calcoli componente'!$S$26*(Dati!$L18+'Calcoli componente'!$K$44)*3600)</f>
        <v>-1.073604267</v>
      </c>
      <c r="P18" s="429">
        <f>'Calcoli componente'!$L$33*COS('Calcoli componente'!$S$26*(Dati!$L18+'Calcoli componente'!$K$30)*3600)</f>
        <v>-0.0119523675</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f>'Calcoli componente'!$L$40*COS('Calcoli componente'!$S$26*(Dati!$L19+'Calcoli componente'!$K$37)*3600)</f>
        <v>-0.5498807961</v>
      </c>
      <c r="O19" s="429">
        <f>'Calcoli componente'!$L$47*COS('Calcoli componente'!$S$26*(Dati!$L19+'Calcoli componente'!$K$44)*3600)</f>
        <v>0.01887654723</v>
      </c>
      <c r="P19" s="429">
        <f>'Calcoli componente'!$L$33*COS('Calcoli componente'!$S$26*(Dati!$L19+'Calcoli componente'!$K$30)*3600)</f>
        <v>-0.08664954681</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f>'Calcoli componente'!$L$40*COS('Calcoli componente'!$S$26*(Dati!$L20+'Calcoli componente'!$K$37)*3600)</f>
        <v>-0.02356776613</v>
      </c>
      <c r="O20" s="429">
        <f>'Calcoli componente'!$L$47*COS('Calcoli componente'!$S$26*(Dati!$L20+'Calcoli componente'!$K$44)*3600)</f>
        <v>1.110070956</v>
      </c>
      <c r="P20" s="429">
        <f>'Calcoli componente'!$L$33*COS('Calcoli componente'!$S$26*(Dati!$L20+'Calcoli componente'!$K$30)*3600)</f>
        <v>-0.1554417027</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f>'Calcoli componente'!$L$40*COS('Calcoli componente'!$S$26*(Dati!$L21+'Calcoli componente'!$K$37)*3600)</f>
        <v>0.5043513681</v>
      </c>
      <c r="O21" s="429">
        <f>'Calcoli componente'!$L$47*COS('Calcoli componente'!$S$26*(Dati!$L21+'Calcoli componente'!$K$44)*3600)</f>
        <v>2.125615863</v>
      </c>
      <c r="P21" s="429">
        <f>'Calcoli componente'!$L$33*COS('Calcoli componente'!$S$26*(Dati!$L21+'Calcoli componente'!$K$30)*3600)</f>
        <v>-0.2136407634</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f>'Calcoli componente'!$L$40*COS('Calcoli componente'!$S$26*(Dati!$L22+'Calcoli componente'!$K$37)*3600)</f>
        <v>0.9978997901</v>
      </c>
      <c r="O22" s="429">
        <f>'Calcoli componente'!$L$47*COS('Calcoli componente'!$S$26*(Dati!$L22+'Calcoli componente'!$K$44)*3600)</f>
        <v>2.996303562</v>
      </c>
      <c r="P22" s="429">
        <f>'Calcoli componente'!$L$33*COS('Calcoli componente'!$S$26*(Dati!$L22+'Calcoli componente'!$K$30)*3600)</f>
        <v>-0.2572805592</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f>'Calcoli componente'!$L$40*COS('Calcoli componente'!$S$26*(Dati!$L23+'Calcoli componente'!$K$37)*3600)</f>
        <v>1.423442991</v>
      </c>
      <c r="O23" s="429">
        <f>'Calcoli componente'!$L$47*COS('Calcoli componente'!$S$26*(Dati!$L23+'Calcoli componente'!$K$44)*3600)</f>
        <v>3.662798125</v>
      </c>
      <c r="P23" s="429">
        <f>'Calcoli componente'!$L$33*COS('Calcoli componente'!$S$26*(Dati!$L23+'Calcoli componente'!$K$30)*3600)</f>
        <v>-0.28338711</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f>'Calcoli componente'!$L$40*COS('Calcoli componente'!$S$26*(Dati!$L24+'Calcoli componente'!$K$37)*3600)</f>
        <v>1.751980903</v>
      </c>
      <c r="O24" s="429">
        <f>'Calcoli componente'!$L$47*COS('Calcoli componente'!$S$26*(Dati!$L24+'Calcoli componente'!$K$44)*3600)</f>
        <v>4.079679048</v>
      </c>
      <c r="P24" s="429">
        <f>'Calcoli componente'!$L$33*COS('Calcoli componente'!$S$26*(Dati!$L24+'Calcoli componente'!$K$30)*3600)</f>
        <v>-0.2901812976</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f>'Calcoli componente'!$L$40*COS('Calcoli componente'!$S$26*(Dati!$L25+'Calcoli componente'!$K$37)*3600)</f>
        <v>1.961124213</v>
      </c>
      <c r="O25" s="429">
        <f>'Calcoli componente'!$L$47*COS('Calcoli componente'!$S$26*(Dati!$L25+'Calcoli componente'!$K$44)*3600)</f>
        <v>4.218536587</v>
      </c>
      <c r="P25" s="429">
        <f>'Calcoli componente'!$L$33*COS('Calcoli componente'!$S$26*(Dati!$L25+'Calcoli componente'!$K$30)*3600)</f>
        <v>-0.2772001093</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f>'Calcoli componente'!$L$40*COS('Calcoli componente'!$S$26*(Dati!$L26+'Calcoli componente'!$K$37)*3600)</f>
        <v>2.036620149</v>
      </c>
      <c r="O26" s="429">
        <f>'Calcoli componente'!$L$47*COS('Calcoli componente'!$S$26*(Dati!$L26+'Calcoli componente'!$K$44)*3600)</f>
        <v>4.069907829</v>
      </c>
      <c r="P26" s="429">
        <f>'Calcoli componente'!$L$33*COS('Calcoli componente'!$S$26*(Dati!$L26+'Calcoli componente'!$K$30)*3600)</f>
        <v>-0.2453281917</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f>'Calcoli componente'!$L$40*COS('Calcoli componente'!$S$26*(Dati!$L27+'Calcoli componente'!$K$37)*3600)</f>
        <v>1.973323787</v>
      </c>
      <c r="O27" s="429">
        <f>'Calcoli componente'!$L$47*COS('Calcoli componente'!$S$26*(Dati!$L27+'Calcoli componente'!$K$44)*3600)</f>
        <v>3.643921578</v>
      </c>
      <c r="P27" s="429">
        <f>'Calcoli componente'!$L$33*COS('Calcoli componente'!$S$26*(Dati!$L27+'Calcoli componente'!$K$30)*3600)</f>
        <v>-0.1967375632</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
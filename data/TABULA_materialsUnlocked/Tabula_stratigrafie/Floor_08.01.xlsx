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pvs_t">#REF!</definedName>
    <definedName name="tsa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<sst xmlns="http://schemas.openxmlformats.org/spreadsheetml/2006/main" count="1626" uniqueCount="661">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</sst>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934014745"/>
        <c:axId val="136973809"/>
      </c:scatterChart>
      <c:valAx>
        <c:axId val="193401474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973809"/>
      </c:valAx>
      <c:valAx>
        <c:axId val="13697380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401474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2600841"/>
        <c:axId val="97047027"/>
      </c:scatterChart>
      <c:valAx>
        <c:axId val="17260084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047027"/>
      </c:valAx>
      <c:valAx>
        <c:axId val="9704702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60084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29478157"/>
        <c:axId val="1664681468"/>
      </c:scatterChart>
      <c:valAx>
        <c:axId val="52947815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4681468"/>
      </c:valAx>
      <c:valAx>
        <c:axId val="166468146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947815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02409404"/>
        <c:axId val="2052750205"/>
      </c:scatterChart>
      <c:valAx>
        <c:axId val="130240940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2750205"/>
      </c:valAx>
      <c:valAx>
        <c:axId val="2052750205"/>
        <c:scaling>
          <c:orientation val="minMax"/>
        </c:scaling>
        <c:delete val="0"/>
        <c:axPos val="l"/>
        <c:tickLblPos val="nextTo"/>
        <c:spPr>
          <a:ln>
            <a:noFill/>
          </a:ln>
        </c:spPr>
        <c:crossAx val="130240940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9703541"/>
        <c:axId val="1523603811"/>
      </c:scatterChart>
      <c:valAx>
        <c:axId val="10970354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3603811"/>
      </c:valAx>
      <c:valAx>
        <c:axId val="1523603811"/>
        <c:scaling>
          <c:orientation val="minMax"/>
        </c:scaling>
        <c:delete val="0"/>
        <c:axPos val="l"/>
        <c:tickLblPos val="nextTo"/>
        <c:spPr>
          <a:ln>
            <a:noFill/>
          </a:ln>
        </c:spPr>
        <c:crossAx val="10970354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789994337"/>
        <c:axId val="805633272"/>
      </c:scatterChart>
      <c:valAx>
        <c:axId val="1789994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5633272"/>
      </c:valAx>
      <c:valAx>
        <c:axId val="80563327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999433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9.0</v>
      </c>
      <c r="E10" s="74"/>
      <c r="F10" s="75"/>
      <c r="G10" s="76"/>
      <c r="H10" s="91">
        <v>0.04</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t="s">
        <v>54</v>
      </c>
      <c r="D11" s="73">
        <v>2.0</v>
      </c>
      <c r="E11" s="74"/>
      <c r="F11" s="75"/>
      <c r="G11" s="76"/>
      <c r="H11" s="91">
        <v>0.9</v>
      </c>
      <c r="I11" s="78"/>
      <c r="J11" s="79"/>
      <c r="K11" s="18"/>
      <c r="L11" s="18"/>
      <c r="M11" s="52" t="s">
        <v>55</v>
      </c>
      <c r="N11" s="97">
        <f>'Calcoli componente'!$K$26</f>
        <v>3.008585859</v>
      </c>
      <c r="O11" s="98" t="s">
        <v>56</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57</v>
      </c>
      <c r="N12" s="101">
        <f>'Calcoli componente'!$L$26</f>
        <v>0.3323820715</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59</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60</v>
      </c>
      <c r="N15" s="88">
        <f>'Calcoli componente'!C17</f>
        <v>44</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2" t="s">
        <v>65</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iso</v>
      </c>
      <c r="C10" s="158">
        <f>'Caratteristiche componente'!D10</f>
        <v>9</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0.04</v>
      </c>
      <c r="H10" s="159" t="str">
        <f t="shared" si="1"/>
        <v>#DIV/0!</v>
      </c>
      <c r="I10" s="160">
        <f t="shared" si="2"/>
        <v>0</v>
      </c>
      <c r="J10" s="161">
        <f>IF($C10&gt;0,IF(OR('Caratteristiche componente'!$C10="intercapedine",'Caratteristiche componente'!$C10="aria",'Caratteristiche componente'!$C10="intercapedine d'aria"),0.01,$C10/100*$E10),0)</f>
        <v>0</v>
      </c>
      <c r="K10" s="85">
        <f t="shared" si="3"/>
        <v>2.25</v>
      </c>
      <c r="L10" s="85">
        <f t="shared" si="4"/>
        <v>0.4444444444</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72" t="str">
        <f>IF('Caratteristiche componente'!C11&lt;&gt;"",'Caratteristiche componente'!C11,"")</f>
        <v>intonaco</v>
      </c>
      <c r="C11" s="158">
        <f>'Caratteristiche componente'!D11</f>
        <v>2</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0</v>
      </c>
      <c r="J11" s="161">
        <f>IF($C11&gt;0,IF(OR('Caratteristiche componente'!$C11="intercapedine",'Caratteristiche componente'!$C11="aria",'Caratteristiche componente'!$C11="intercapedine d'aria"),0.01,$C11/100*$E11),0)</f>
        <v>0</v>
      </c>
      <c r="K11" s="85">
        <f t="shared" si="3"/>
        <v>0.02222222222</v>
      </c>
      <c r="L11" s="85">
        <f t="shared" si="4"/>
        <v>45</v>
      </c>
      <c r="M11" s="162">
        <f t="shared" si="5"/>
        <v>0</v>
      </c>
      <c r="N11" s="18"/>
      <c r="O11" s="163">
        <f>$M11*($K$22+$K$16+$K$15+$K$14+$K$13+$K$12+$K11/2)</f>
        <v>0</v>
      </c>
      <c r="P11" s="162">
        <f>$M11*($K$21+$K$7+$K$8+$K$9+$K$10+$K11/2)</f>
        <v>0</v>
      </c>
      <c r="Q11" s="18"/>
      <c r="R11" s="164" t="str">
        <f t="shared" si="6"/>
        <v>#DIV/0!</v>
      </c>
      <c r="S11" s="165" t="str">
        <f t="shared" si="7"/>
        <v>#DIV/0!</v>
      </c>
      <c r="T11" s="165" t="str">
        <f t="shared" si="8"/>
        <v>#DIV/0!</v>
      </c>
      <c r="U11" s="165" t="str">
        <f t="shared" si="9"/>
        <v>#DIV/0!</v>
      </c>
      <c r="V11" s="165" t="str">
        <f t="shared" si="10"/>
        <v>#DIV/0!</v>
      </c>
      <c r="W11" s="166" t="str">
        <f t="shared" si="11"/>
        <v>#DIV/0!</v>
      </c>
      <c r="X11" s="164" t="str">
        <f t="shared" si="12"/>
        <v>#DIV/0!</v>
      </c>
      <c r="Y11" s="165" t="str">
        <f t="shared" si="13"/>
        <v>#DIV/0!</v>
      </c>
      <c r="Z11" s="165" t="str">
        <f t="shared" si="14"/>
        <v>#DIV/0!</v>
      </c>
      <c r="AA11" s="167" t="str">
        <f t="shared" si="15"/>
        <v>#DIV/0!</v>
      </c>
      <c r="AB11" s="168" t="str">
        <f t="shared" si="16"/>
        <v>#DIV/0!</v>
      </c>
      <c r="AC11" s="164" t="str">
        <f t="shared" si="17"/>
        <v>#DIV/0!</v>
      </c>
      <c r="AD11" s="165" t="str">
        <f t="shared" si="18"/>
        <v>#DIV/0!</v>
      </c>
      <c r="AE11" s="165" t="str">
        <f t="shared" si="19"/>
        <v>#DIV/0!</v>
      </c>
      <c r="AF11" s="167" t="str">
        <f t="shared" si="20"/>
        <v>#DIV/0!</v>
      </c>
      <c r="AG11" s="168" t="str">
        <f t="shared" si="21"/>
        <v>#DIV/0!</v>
      </c>
      <c r="AH11" s="164" t="str">
        <f t="shared" si="22"/>
        <v>#DIV/0!</v>
      </c>
      <c r="AI11" s="165" t="str">
        <f t="shared" si="23"/>
        <v>#DIV/0!</v>
      </c>
      <c r="AJ11" s="165" t="str">
        <f t="shared" si="24"/>
        <v>#DIV/0!</v>
      </c>
      <c r="AK11" s="167" t="str">
        <f t="shared" si="25"/>
        <v>#DIV/0!</v>
      </c>
      <c r="AL11" s="168" t="str">
        <f t="shared" si="26"/>
        <v>#DIV/0!</v>
      </c>
      <c r="AM11" s="169" t="str">
        <f t="shared" si="27"/>
        <v>#DIV/0!</v>
      </c>
      <c r="AN11" s="165" t="str">
        <f t="shared" si="28"/>
        <v>#DIV/0!</v>
      </c>
      <c r="AO11" s="165" t="str">
        <f t="shared" si="29"/>
        <v>#DIV/0!</v>
      </c>
      <c r="AP11" s="167" t="str">
        <f t="shared" si="30"/>
        <v>#DIV/0!</v>
      </c>
      <c r="AQ11" s="168" t="str">
        <f t="shared" si="31"/>
        <v>#DIV/0!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112</v>
      </c>
      <c r="B17" s="189"/>
      <c r="C17" s="190">
        <f>SUM(C$7:C$16)</f>
        <v>44</v>
      </c>
      <c r="D17" s="189"/>
      <c r="E17" s="191"/>
      <c r="F17" s="191"/>
      <c r="G17" s="191"/>
      <c r="H17" s="192"/>
      <c r="I17" s="193">
        <f t="shared" ref="I17:K17" si="32">SUM(I$7:I$16)</f>
        <v>0</v>
      </c>
      <c r="J17" s="194">
        <f t="shared" si="32"/>
        <v>0</v>
      </c>
      <c r="K17" s="194">
        <f t="shared" si="32"/>
        <v>2.798585859</v>
      </c>
      <c r="L17" s="195">
        <f t="shared" si="4"/>
        <v>0.3573233235</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117</v>
      </c>
      <c r="L19" s="201"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64</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64</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5"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0"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0" customHeight="1">
      <c r="A26" s="18"/>
      <c r="B26" s="18"/>
      <c r="C26" s="18"/>
      <c r="D26" s="18"/>
      <c r="E26" s="18"/>
      <c r="F26" s="18"/>
      <c r="G26" s="18"/>
      <c r="H26" s="18"/>
      <c r="I26" s="18"/>
      <c r="J26" s="18"/>
      <c r="K26" s="216">
        <f>$K$17+$K$21+$K$22</f>
        <v>3.008585859</v>
      </c>
      <c r="L26" s="217">
        <f>1/$K$26</f>
        <v>0.3323820715</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158</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159</v>
      </c>
      <c r="L28" s="31" t="s">
        <v>160</v>
      </c>
      <c r="M28" s="18"/>
      <c r="N28" s="123" t="s">
        <v>161</v>
      </c>
      <c r="O28" s="124" t="s">
        <v>162</v>
      </c>
      <c r="P28" s="135" t="s">
        <v>163</v>
      </c>
      <c r="Q28" s="18"/>
      <c r="R28" s="18"/>
      <c r="S28" s="18"/>
      <c r="T28" s="18"/>
      <c r="U28" s="18"/>
      <c r="V28" s="224" t="s">
        <v>164</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3"/>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158</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4" t="s">
        <v>164</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195</v>
      </c>
      <c r="D35" s="215" t="s">
        <v>196</v>
      </c>
      <c r="E35" s="215" t="s">
        <v>197</v>
      </c>
      <c r="F35" s="18"/>
      <c r="G35" s="18"/>
      <c r="H35" s="18"/>
      <c r="I35" s="18"/>
      <c r="J35" s="18"/>
      <c r="K35" s="215" t="s">
        <v>198</v>
      </c>
      <c r="L35" s="31" t="s">
        <v>199</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204</v>
      </c>
      <c r="AS36" s="121"/>
      <c r="AT36" s="121"/>
      <c r="AU36" s="121"/>
      <c r="AV36" s="122"/>
      <c r="AW36" s="237" t="s">
        <v>205</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213</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214</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215</v>
      </c>
      <c r="D42" s="215" t="s">
        <v>216</v>
      </c>
      <c r="E42" s="215" t="s">
        <v>217</v>
      </c>
      <c r="F42" s="18"/>
      <c r="G42" s="18"/>
      <c r="H42" s="18"/>
      <c r="I42" s="18"/>
      <c r="J42" s="18"/>
      <c r="K42" s="215" t="s">
        <v>218</v>
      </c>
      <c r="L42" s="31" t="s">
        <v>219</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220</v>
      </c>
      <c r="AS42" s="121"/>
      <c r="AT42" s="121"/>
      <c r="AU42" s="121"/>
      <c r="AV42" s="122"/>
      <c r="AW42" s="237" t="s">
        <v>221</v>
      </c>
      <c r="AX42" s="121"/>
      <c r="AY42" s="121"/>
      <c r="AZ42" s="121"/>
      <c r="BA42" s="122"/>
      <c r="BB42" s="18"/>
      <c r="BC42" s="18"/>
      <c r="BD42" s="18"/>
      <c r="BE42" s="18"/>
      <c r="BF42" s="18"/>
      <c r="BG42" s="18"/>
      <c r="BH42" s="18"/>
    </row>
    <row r="43" ht="15.0"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213</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214</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233</v>
      </c>
      <c r="AS48" s="121"/>
      <c r="AT48" s="121"/>
      <c r="AU48" s="121"/>
      <c r="AV48" s="122"/>
      <c r="AW48" s="237" t="s">
        <v>234</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213</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214</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245</v>
      </c>
      <c r="C2" s="245"/>
      <c r="D2" s="246" t="s">
        <v>246</v>
      </c>
      <c r="E2" s="121"/>
      <c r="F2" s="121"/>
      <c r="G2" s="122"/>
      <c r="H2" s="246" t="s">
        <v>247</v>
      </c>
      <c r="I2" s="121"/>
      <c r="J2" s="121"/>
      <c r="K2" s="122"/>
      <c r="L2" s="246" t="s">
        <v>248</v>
      </c>
      <c r="M2" s="121"/>
      <c r="N2" s="121"/>
      <c r="O2" s="122"/>
      <c r="P2" s="246" t="s">
        <v>249</v>
      </c>
      <c r="Q2" s="121"/>
      <c r="R2" s="121"/>
      <c r="S2" s="122"/>
      <c r="T2" s="246" t="s">
        <v>250</v>
      </c>
      <c r="U2" s="121"/>
      <c r="V2" s="121"/>
      <c r="W2" s="122"/>
      <c r="X2" s="246" t="s">
        <v>251</v>
      </c>
      <c r="Y2" s="121"/>
      <c r="Z2" s="121"/>
      <c r="AA2" s="122"/>
      <c r="AB2" s="246" t="s">
        <v>252</v>
      </c>
      <c r="AC2" s="121"/>
      <c r="AD2" s="121"/>
      <c r="AE2" s="122"/>
      <c r="AF2" s="246" t="s">
        <v>253</v>
      </c>
      <c r="AG2" s="121"/>
      <c r="AH2" s="121"/>
      <c r="AI2" s="122"/>
      <c r="AJ2" s="246" t="s">
        <v>254</v>
      </c>
      <c r="AK2" s="121"/>
      <c r="AL2" s="121"/>
      <c r="AM2" s="122"/>
      <c r="AN2" s="246" t="s">
        <v>255</v>
      </c>
      <c r="AO2" s="121"/>
      <c r="AP2" s="121"/>
      <c r="AQ2" s="122"/>
      <c r="AR2" s="246" t="s">
        <v>256</v>
      </c>
      <c r="AS2" s="121"/>
      <c r="AT2" s="121"/>
      <c r="AU2" s="122"/>
      <c r="AV2" s="246" t="s">
        <v>257</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t="str">
        <f>'Calcoli componente'!$X$11</f>
        <v>#DIV/0!</v>
      </c>
      <c r="Y3" s="250" t="str">
        <f>'Calcoli componente'!$Y$11</f>
        <v>#DIV/0!</v>
      </c>
      <c r="Z3" s="250" t="str">
        <f>'Calcoli componente'!$AC$11</f>
        <v>#DIV/0!</v>
      </c>
      <c r="AA3" s="251" t="str">
        <f>'Calcoli componente'!$AD$11</f>
        <v>#DIV/0!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t="str">
        <f>-'Calcoli componente'!$Y$11</f>
        <v>#DIV/0!</v>
      </c>
      <c r="Y4" s="250" t="str">
        <f>'Calcoli componente'!$X$11</f>
        <v>#DIV/0!</v>
      </c>
      <c r="Z4" s="250" t="str">
        <f>-'Calcoli componente'!$AD$11</f>
        <v>#DIV/0!</v>
      </c>
      <c r="AA4" s="251" t="str">
        <f>'Calcoli componente'!$AC$11</f>
        <v>#DIV/0!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t="str">
        <f>'Calcoli componente'!$AH$11</f>
        <v>#DIV/0!</v>
      </c>
      <c r="Y5" s="250" t="str">
        <f>'Calcoli componente'!$AI$11</f>
        <v>#DIV/0!</v>
      </c>
      <c r="Z5" s="250" t="str">
        <f>'Calcoli componente'!$AM$11</f>
        <v>#DIV/0!</v>
      </c>
      <c r="AA5" s="251" t="str">
        <f>'Calcoli componente'!$AN$11</f>
        <v>#DIV/0!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t="str">
        <f>-'Calcoli componente'!$AI$11</f>
        <v>#DIV/0!</v>
      </c>
      <c r="Y6" s="255" t="str">
        <f>'Calcoli componente'!$AH$11</f>
        <v>#DIV/0!</v>
      </c>
      <c r="Z6" s="255" t="str">
        <f>-'Calcoli componente'!$AN$11</f>
        <v>#DIV/0!</v>
      </c>
      <c r="AA6" s="256" t="str">
        <f>'Calcoli componente'!$AM$11</f>
        <v>#DIV/0!</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258</v>
      </c>
      <c r="C8" s="261"/>
      <c r="D8" s="262"/>
      <c r="E8" s="262"/>
      <c r="F8" s="262"/>
      <c r="G8" s="262"/>
      <c r="H8" s="262"/>
      <c r="I8" s="263"/>
      <c r="J8" s="264" t="s">
        <v>259</v>
      </c>
      <c r="K8" s="265"/>
      <c r="L8" s="265"/>
      <c r="M8" s="266"/>
      <c r="N8" s="264" t="s">
        <v>260</v>
      </c>
      <c r="O8" s="265"/>
      <c r="P8" s="265"/>
      <c r="Q8" s="266"/>
      <c r="R8" s="264" t="s">
        <v>261</v>
      </c>
      <c r="S8" s="265"/>
      <c r="T8" s="265"/>
      <c r="U8" s="266"/>
      <c r="V8" s="264" t="s">
        <v>262</v>
      </c>
      <c r="W8" s="265"/>
      <c r="X8" s="265"/>
      <c r="Y8" s="266"/>
      <c r="Z8" s="264" t="s">
        <v>263</v>
      </c>
      <c r="AA8" s="265"/>
      <c r="AB8" s="265"/>
      <c r="AC8" s="266"/>
      <c r="AD8" s="264" t="s">
        <v>264</v>
      </c>
      <c r="AE8" s="265"/>
      <c r="AF8" s="265"/>
      <c r="AG8" s="266"/>
      <c r="AH8" s="264" t="s">
        <v>265</v>
      </c>
      <c r="AI8" s="265"/>
      <c r="AJ8" s="265"/>
      <c r="AK8" s="266"/>
      <c r="AL8" s="264" t="s">
        <v>266</v>
      </c>
      <c r="AM8" s="265"/>
      <c r="AN8" s="265"/>
      <c r="AO8" s="266"/>
      <c r="AP8" s="264" t="s">
        <v>267</v>
      </c>
      <c r="AQ8" s="265"/>
      <c r="AR8" s="265"/>
      <c r="AS8" s="266"/>
      <c r="AT8" s="264" t="s">
        <v>268</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269</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270</v>
      </c>
      <c r="C19" s="279"/>
      <c r="D19" s="274"/>
      <c r="E19" s="275"/>
      <c r="F19" s="246" t="s">
        <v>271</v>
      </c>
      <c r="G19" s="121"/>
      <c r="H19" s="121"/>
      <c r="I19" s="122"/>
      <c r="J19" s="246" t="s">
        <v>272</v>
      </c>
      <c r="K19" s="121"/>
      <c r="L19" s="121"/>
      <c r="M19" s="122"/>
      <c r="N19" s="246" t="s">
        <v>273</v>
      </c>
      <c r="O19" s="121"/>
      <c r="P19" s="121"/>
      <c r="Q19" s="122"/>
      <c r="R19" s="246" t="s">
        <v>274</v>
      </c>
      <c r="S19" s="121"/>
      <c r="T19" s="121"/>
      <c r="U19" s="122"/>
      <c r="V19" s="246" t="s">
        <v>275</v>
      </c>
      <c r="W19" s="121"/>
      <c r="X19" s="121"/>
      <c r="Y19" s="122"/>
      <c r="Z19" s="246" t="s">
        <v>276</v>
      </c>
      <c r="AA19" s="121"/>
      <c r="AB19" s="121"/>
      <c r="AC19" s="122"/>
      <c r="AD19" s="246" t="s">
        <v>277</v>
      </c>
      <c r="AE19" s="121"/>
      <c r="AF19" s="121"/>
      <c r="AG19" s="122"/>
      <c r="AH19" s="246" t="s">
        <v>278</v>
      </c>
      <c r="AI19" s="121"/>
      <c r="AJ19" s="121"/>
      <c r="AK19" s="122"/>
      <c r="AL19" s="246" t="s">
        <v>279</v>
      </c>
      <c r="AM19" s="121"/>
      <c r="AN19" s="121"/>
      <c r="AO19" s="122"/>
      <c r="AP19" s="246" t="s">
        <v>280</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t="str">
        <f t="array" ref="Z20">MMULT(X3:AA6,AD20:AG23)</f>
        <v>#DIV/0!</v>
      </c>
      <c r="AA20" s="250"/>
      <c r="AB20" s="250"/>
      <c r="AC20" s="251"/>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c r="AA21" s="250"/>
      <c r="AB21" s="250"/>
      <c r="AC21" s="251"/>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c r="AA22" s="250"/>
      <c r="AB22" s="250"/>
      <c r="AC22" s="251"/>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c r="AA23" s="255"/>
      <c r="AB23" s="255"/>
      <c r="AC23" s="256"/>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281</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282</v>
      </c>
      <c r="C2" s="284" t="s">
        <v>283</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284</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285</v>
      </c>
      <c r="F5" s="288" t="s">
        <v>286</v>
      </c>
      <c r="G5" s="288" t="s">
        <v>287</v>
      </c>
      <c r="H5" s="288" t="s">
        <v>288</v>
      </c>
      <c r="I5" s="288" t="s">
        <v>289</v>
      </c>
      <c r="J5" s="288" t="s">
        <v>290</v>
      </c>
      <c r="K5" s="288" t="s">
        <v>291</v>
      </c>
      <c r="L5" s="288" t="s">
        <v>292</v>
      </c>
      <c r="M5" s="288" t="s">
        <v>293</v>
      </c>
      <c r="N5" s="288" t="s">
        <v>294</v>
      </c>
      <c r="O5" s="288" t="s">
        <v>295</v>
      </c>
      <c r="P5" s="289" t="s">
        <v>296</v>
      </c>
      <c r="Q5" s="283"/>
      <c r="R5" s="283"/>
      <c r="S5" s="283"/>
      <c r="T5" s="283"/>
      <c r="U5" s="283"/>
      <c r="V5" s="283"/>
      <c r="W5" s="283"/>
      <c r="X5" s="283"/>
      <c r="Y5" s="283"/>
      <c r="Z5" s="283"/>
    </row>
    <row r="6" ht="19.5" customHeight="1">
      <c r="A6" s="283"/>
      <c r="B6" s="290" t="s">
        <v>297</v>
      </c>
      <c r="C6" s="291" t="s">
        <v>298</v>
      </c>
      <c r="D6" s="292" t="s">
        <v>299</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300</v>
      </c>
      <c r="C7" s="297" t="s">
        <v>301</v>
      </c>
      <c r="D7" s="298" t="s">
        <v>302</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303</v>
      </c>
      <c r="C8" s="303" t="s">
        <v>304</v>
      </c>
      <c r="D8" s="304" t="s">
        <v>305</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306</v>
      </c>
      <c r="C9" s="291" t="s">
        <v>307</v>
      </c>
      <c r="D9" s="292" t="s">
        <v>299</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308</v>
      </c>
      <c r="C10" s="308" t="s">
        <v>309</v>
      </c>
      <c r="D10" s="298" t="s">
        <v>302</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310</v>
      </c>
      <c r="S10" s="283"/>
      <c r="T10" s="283"/>
      <c r="U10" s="283"/>
      <c r="V10" s="283"/>
      <c r="W10" s="283"/>
      <c r="X10" s="283"/>
      <c r="Y10" s="283"/>
      <c r="Z10" s="283"/>
    </row>
    <row r="11" ht="19.5" customHeight="1">
      <c r="A11" s="283"/>
      <c r="B11" s="296" t="s">
        <v>311</v>
      </c>
      <c r="C11" s="297" t="s">
        <v>312</v>
      </c>
      <c r="D11" s="298" t="s">
        <v>302</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313</v>
      </c>
      <c r="C12" s="303" t="s">
        <v>314</v>
      </c>
      <c r="D12" s="304" t="s">
        <v>305</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315</v>
      </c>
      <c r="C13" s="291" t="s">
        <v>316</v>
      </c>
      <c r="D13" s="292" t="s">
        <v>299</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317</v>
      </c>
      <c r="C14" s="303" t="s">
        <v>318</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319</v>
      </c>
      <c r="C15" s="303" t="s">
        <v>320</v>
      </c>
      <c r="D15" s="304" t="s">
        <v>321</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322</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285</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285</v>
      </c>
      <c r="L3" s="121"/>
      <c r="M3" s="121"/>
      <c r="N3" s="121"/>
      <c r="O3" s="121"/>
      <c r="P3" s="121"/>
      <c r="Q3" s="122"/>
      <c r="R3" s="322" t="s">
        <v>286</v>
      </c>
      <c r="S3" s="121"/>
      <c r="T3" s="121"/>
      <c r="U3" s="121"/>
      <c r="V3" s="121"/>
      <c r="W3" s="121"/>
      <c r="X3" s="122"/>
      <c r="Y3" s="322" t="s">
        <v>287</v>
      </c>
      <c r="Z3" s="121"/>
      <c r="AA3" s="121"/>
      <c r="AB3" s="121"/>
      <c r="AC3" s="121"/>
      <c r="AD3" s="121"/>
      <c r="AE3" s="122"/>
      <c r="AF3" s="322" t="s">
        <v>288</v>
      </c>
      <c r="AG3" s="121"/>
      <c r="AH3" s="121"/>
      <c r="AI3" s="121"/>
      <c r="AJ3" s="121"/>
      <c r="AK3" s="121"/>
      <c r="AL3" s="122"/>
      <c r="AM3" s="322" t="s">
        <v>289</v>
      </c>
      <c r="AN3" s="121"/>
      <c r="AO3" s="121"/>
      <c r="AP3" s="121"/>
      <c r="AQ3" s="121"/>
      <c r="AR3" s="121"/>
      <c r="AS3" s="122"/>
      <c r="AT3" s="322" t="s">
        <v>290</v>
      </c>
      <c r="AU3" s="121"/>
      <c r="AV3" s="121"/>
      <c r="AW3" s="121"/>
      <c r="AX3" s="121"/>
      <c r="AY3" s="121"/>
      <c r="AZ3" s="122"/>
      <c r="BA3" s="322" t="s">
        <v>291</v>
      </c>
      <c r="BB3" s="121"/>
      <c r="BC3" s="121"/>
      <c r="BD3" s="121"/>
      <c r="BE3" s="121"/>
      <c r="BF3" s="121"/>
      <c r="BG3" s="122"/>
      <c r="BH3" s="322" t="s">
        <v>292</v>
      </c>
      <c r="BI3" s="121"/>
      <c r="BJ3" s="121"/>
      <c r="BK3" s="121"/>
      <c r="BL3" s="121"/>
      <c r="BM3" s="121"/>
      <c r="BN3" s="122"/>
      <c r="BO3" s="322" t="s">
        <v>293</v>
      </c>
      <c r="BP3" s="121"/>
      <c r="BQ3" s="121"/>
      <c r="BR3" s="121"/>
      <c r="BS3" s="121"/>
      <c r="BT3" s="121"/>
      <c r="BU3" s="122"/>
      <c r="BV3" s="322" t="s">
        <v>294</v>
      </c>
      <c r="BW3" s="121"/>
      <c r="BX3" s="121"/>
      <c r="BY3" s="121"/>
      <c r="BZ3" s="121"/>
      <c r="CA3" s="121"/>
      <c r="CB3" s="122"/>
      <c r="CC3" s="322" t="s">
        <v>295</v>
      </c>
      <c r="CD3" s="121"/>
      <c r="CE3" s="121"/>
      <c r="CF3" s="121"/>
      <c r="CG3" s="121"/>
      <c r="CH3" s="121"/>
      <c r="CI3" s="122"/>
      <c r="CJ3" s="322" t="s">
        <v>296</v>
      </c>
      <c r="CK3" s="121"/>
      <c r="CL3" s="121"/>
      <c r="CM3" s="121"/>
      <c r="CN3" s="121"/>
      <c r="CO3" s="121"/>
      <c r="CP3" s="122"/>
    </row>
    <row r="4" ht="17.25" customHeight="1">
      <c r="A4" s="323" t="s">
        <v>12</v>
      </c>
      <c r="B4" s="25"/>
      <c r="C4" s="284" t="s">
        <v>74</v>
      </c>
      <c r="D4" s="323" t="s">
        <v>75</v>
      </c>
      <c r="E4" s="122"/>
      <c r="F4" s="323" t="s">
        <v>323</v>
      </c>
      <c r="G4" s="122"/>
      <c r="H4" s="283"/>
      <c r="I4" s="283"/>
      <c r="J4" s="324" t="s">
        <v>324</v>
      </c>
      <c r="K4" s="325" t="s">
        <v>325</v>
      </c>
      <c r="L4" s="326" t="s">
        <v>326</v>
      </c>
      <c r="M4" s="327" t="s">
        <v>327</v>
      </c>
      <c r="N4" s="327" t="s">
        <v>328</v>
      </c>
      <c r="O4" s="327" t="s">
        <v>328</v>
      </c>
      <c r="P4" s="327" t="s">
        <v>329</v>
      </c>
      <c r="Q4" s="298" t="s">
        <v>330</v>
      </c>
      <c r="R4" s="325" t="s">
        <v>325</v>
      </c>
      <c r="S4" s="326" t="s">
        <v>331</v>
      </c>
      <c r="T4" s="327" t="s">
        <v>327</v>
      </c>
      <c r="U4" s="327" t="s">
        <v>328</v>
      </c>
      <c r="V4" s="327" t="s">
        <v>328</v>
      </c>
      <c r="W4" s="327" t="s">
        <v>332</v>
      </c>
      <c r="X4" s="298" t="s">
        <v>330</v>
      </c>
      <c r="Y4" s="325" t="s">
        <v>325</v>
      </c>
      <c r="Z4" s="326" t="s">
        <v>333</v>
      </c>
      <c r="AA4" s="327" t="s">
        <v>327</v>
      </c>
      <c r="AB4" s="327" t="s">
        <v>328</v>
      </c>
      <c r="AC4" s="327" t="s">
        <v>328</v>
      </c>
      <c r="AD4" s="327" t="s">
        <v>334</v>
      </c>
      <c r="AE4" s="298" t="s">
        <v>330</v>
      </c>
      <c r="AF4" s="325" t="s">
        <v>325</v>
      </c>
      <c r="AG4" s="326" t="s">
        <v>335</v>
      </c>
      <c r="AH4" s="327" t="s">
        <v>327</v>
      </c>
      <c r="AI4" s="327" t="s">
        <v>328</v>
      </c>
      <c r="AJ4" s="327" t="s">
        <v>328</v>
      </c>
      <c r="AK4" s="327" t="s">
        <v>336</v>
      </c>
      <c r="AL4" s="298" t="s">
        <v>330</v>
      </c>
      <c r="AM4" s="325" t="s">
        <v>325</v>
      </c>
      <c r="AN4" s="326" t="s">
        <v>337</v>
      </c>
      <c r="AO4" s="327" t="s">
        <v>327</v>
      </c>
      <c r="AP4" s="327" t="s">
        <v>328</v>
      </c>
      <c r="AQ4" s="327" t="s">
        <v>328</v>
      </c>
      <c r="AR4" s="327" t="s">
        <v>338</v>
      </c>
      <c r="AS4" s="298" t="s">
        <v>330</v>
      </c>
      <c r="AT4" s="325" t="s">
        <v>325</v>
      </c>
      <c r="AU4" s="326" t="s">
        <v>339</v>
      </c>
      <c r="AV4" s="327" t="s">
        <v>327</v>
      </c>
      <c r="AW4" s="327" t="s">
        <v>328</v>
      </c>
      <c r="AX4" s="327" t="s">
        <v>328</v>
      </c>
      <c r="AY4" s="327" t="s">
        <v>340</v>
      </c>
      <c r="AZ4" s="298" t="s">
        <v>330</v>
      </c>
      <c r="BA4" s="325" t="s">
        <v>325</v>
      </c>
      <c r="BB4" s="326" t="s">
        <v>341</v>
      </c>
      <c r="BC4" s="327" t="s">
        <v>327</v>
      </c>
      <c r="BD4" s="327" t="s">
        <v>328</v>
      </c>
      <c r="BE4" s="327" t="s">
        <v>328</v>
      </c>
      <c r="BF4" s="327" t="s">
        <v>342</v>
      </c>
      <c r="BG4" s="298" t="s">
        <v>330</v>
      </c>
      <c r="BH4" s="325" t="s">
        <v>325</v>
      </c>
      <c r="BI4" s="326" t="s">
        <v>343</v>
      </c>
      <c r="BJ4" s="327" t="s">
        <v>327</v>
      </c>
      <c r="BK4" s="327" t="s">
        <v>328</v>
      </c>
      <c r="BL4" s="327" t="s">
        <v>328</v>
      </c>
      <c r="BM4" s="327" t="s">
        <v>344</v>
      </c>
      <c r="BN4" s="298" t="s">
        <v>330</v>
      </c>
      <c r="BO4" s="325" t="s">
        <v>325</v>
      </c>
      <c r="BP4" s="326" t="s">
        <v>345</v>
      </c>
      <c r="BQ4" s="327" t="s">
        <v>327</v>
      </c>
      <c r="BR4" s="327" t="s">
        <v>328</v>
      </c>
      <c r="BS4" s="327" t="s">
        <v>328</v>
      </c>
      <c r="BT4" s="327" t="s">
        <v>346</v>
      </c>
      <c r="BU4" s="298" t="s">
        <v>330</v>
      </c>
      <c r="BV4" s="325" t="s">
        <v>325</v>
      </c>
      <c r="BW4" s="326" t="s">
        <v>347</v>
      </c>
      <c r="BX4" s="327" t="s">
        <v>327</v>
      </c>
      <c r="BY4" s="327" t="s">
        <v>328</v>
      </c>
      <c r="BZ4" s="327" t="s">
        <v>328</v>
      </c>
      <c r="CA4" s="327" t="s">
        <v>348</v>
      </c>
      <c r="CB4" s="298" t="s">
        <v>330</v>
      </c>
      <c r="CC4" s="325" t="s">
        <v>325</v>
      </c>
      <c r="CD4" s="326" t="s">
        <v>349</v>
      </c>
      <c r="CE4" s="327" t="s">
        <v>327</v>
      </c>
      <c r="CF4" s="327" t="s">
        <v>328</v>
      </c>
      <c r="CG4" s="327" t="s">
        <v>328</v>
      </c>
      <c r="CH4" s="327" t="s">
        <v>350</v>
      </c>
      <c r="CI4" s="298" t="s">
        <v>330</v>
      </c>
      <c r="CJ4" s="325" t="s">
        <v>325</v>
      </c>
      <c r="CK4" s="326" t="s">
        <v>351</v>
      </c>
      <c r="CL4" s="327" t="s">
        <v>327</v>
      </c>
      <c r="CM4" s="327" t="s">
        <v>328</v>
      </c>
      <c r="CN4" s="327" t="s">
        <v>328</v>
      </c>
      <c r="CO4" s="327" t="s">
        <v>352</v>
      </c>
      <c r="CP4" s="298" t="s">
        <v>330</v>
      </c>
    </row>
    <row r="5" ht="15.75" customHeight="1">
      <c r="A5" s="328"/>
      <c r="B5" s="127"/>
      <c r="C5" s="329" t="s">
        <v>13</v>
      </c>
      <c r="D5" s="330" t="s">
        <v>15</v>
      </c>
      <c r="E5" s="331" t="s">
        <v>17</v>
      </c>
      <c r="F5" s="332" t="s">
        <v>353</v>
      </c>
      <c r="G5" s="298" t="s">
        <v>18</v>
      </c>
      <c r="H5" s="283"/>
      <c r="I5" s="283"/>
      <c r="J5" s="333" t="s">
        <v>99</v>
      </c>
      <c r="K5" s="334" t="s">
        <v>299</v>
      </c>
      <c r="L5" s="335" t="s">
        <v>302</v>
      </c>
      <c r="M5" s="335" t="s">
        <v>302</v>
      </c>
      <c r="N5" s="335"/>
      <c r="O5" s="335"/>
      <c r="P5" s="335" t="s">
        <v>302</v>
      </c>
      <c r="Q5" s="304" t="s">
        <v>354</v>
      </c>
      <c r="R5" s="334" t="s">
        <v>299</v>
      </c>
      <c r="S5" s="335" t="s">
        <v>302</v>
      </c>
      <c r="T5" s="335" t="s">
        <v>302</v>
      </c>
      <c r="U5" s="335"/>
      <c r="V5" s="335"/>
      <c r="W5" s="335" t="s">
        <v>302</v>
      </c>
      <c r="X5" s="304" t="s">
        <v>355</v>
      </c>
      <c r="Y5" s="334" t="s">
        <v>299</v>
      </c>
      <c r="Z5" s="335" t="s">
        <v>302</v>
      </c>
      <c r="AA5" s="335" t="s">
        <v>302</v>
      </c>
      <c r="AB5" s="335"/>
      <c r="AC5" s="335"/>
      <c r="AD5" s="335" t="s">
        <v>302</v>
      </c>
      <c r="AE5" s="304" t="s">
        <v>356</v>
      </c>
      <c r="AF5" s="334" t="s">
        <v>299</v>
      </c>
      <c r="AG5" s="335" t="s">
        <v>302</v>
      </c>
      <c r="AH5" s="335" t="s">
        <v>302</v>
      </c>
      <c r="AI5" s="335"/>
      <c r="AJ5" s="335"/>
      <c r="AK5" s="335" t="s">
        <v>302</v>
      </c>
      <c r="AL5" s="304" t="s">
        <v>357</v>
      </c>
      <c r="AM5" s="334" t="s">
        <v>299</v>
      </c>
      <c r="AN5" s="335" t="s">
        <v>302</v>
      </c>
      <c r="AO5" s="335" t="s">
        <v>302</v>
      </c>
      <c r="AP5" s="335"/>
      <c r="AQ5" s="335"/>
      <c r="AR5" s="335" t="s">
        <v>302</v>
      </c>
      <c r="AS5" s="304" t="s">
        <v>358</v>
      </c>
      <c r="AT5" s="334" t="s">
        <v>299</v>
      </c>
      <c r="AU5" s="335" t="s">
        <v>302</v>
      </c>
      <c r="AV5" s="335" t="s">
        <v>302</v>
      </c>
      <c r="AW5" s="335"/>
      <c r="AX5" s="335"/>
      <c r="AY5" s="335" t="s">
        <v>302</v>
      </c>
      <c r="AZ5" s="304" t="s">
        <v>359</v>
      </c>
      <c r="BA5" s="334" t="s">
        <v>299</v>
      </c>
      <c r="BB5" s="335" t="s">
        <v>302</v>
      </c>
      <c r="BC5" s="335" t="s">
        <v>302</v>
      </c>
      <c r="BD5" s="335"/>
      <c r="BE5" s="335"/>
      <c r="BF5" s="335" t="s">
        <v>302</v>
      </c>
      <c r="BG5" s="304" t="s">
        <v>360</v>
      </c>
      <c r="BH5" s="334" t="s">
        <v>299</v>
      </c>
      <c r="BI5" s="335" t="s">
        <v>302</v>
      </c>
      <c r="BJ5" s="335" t="s">
        <v>302</v>
      </c>
      <c r="BK5" s="335"/>
      <c r="BL5" s="335"/>
      <c r="BM5" s="335" t="s">
        <v>302</v>
      </c>
      <c r="BN5" s="304" t="s">
        <v>361</v>
      </c>
      <c r="BO5" s="334" t="s">
        <v>299</v>
      </c>
      <c r="BP5" s="335" t="s">
        <v>302</v>
      </c>
      <c r="BQ5" s="335" t="s">
        <v>302</v>
      </c>
      <c r="BR5" s="335"/>
      <c r="BS5" s="335"/>
      <c r="BT5" s="335" t="s">
        <v>302</v>
      </c>
      <c r="BU5" s="304" t="s">
        <v>362</v>
      </c>
      <c r="BV5" s="334" t="s">
        <v>299</v>
      </c>
      <c r="BW5" s="335" t="s">
        <v>302</v>
      </c>
      <c r="BX5" s="335" t="s">
        <v>302</v>
      </c>
      <c r="BY5" s="335"/>
      <c r="BZ5" s="335"/>
      <c r="CA5" s="335" t="s">
        <v>302</v>
      </c>
      <c r="CB5" s="304" t="s">
        <v>363</v>
      </c>
      <c r="CC5" s="334" t="s">
        <v>299</v>
      </c>
      <c r="CD5" s="335" t="s">
        <v>302</v>
      </c>
      <c r="CE5" s="335" t="s">
        <v>302</v>
      </c>
      <c r="CF5" s="335"/>
      <c r="CG5" s="335"/>
      <c r="CH5" s="335" t="s">
        <v>302</v>
      </c>
      <c r="CI5" s="304" t="s">
        <v>364</v>
      </c>
      <c r="CJ5" s="334" t="s">
        <v>299</v>
      </c>
      <c r="CK5" s="335" t="s">
        <v>302</v>
      </c>
      <c r="CL5" s="335" t="s">
        <v>302</v>
      </c>
      <c r="CM5" s="335"/>
      <c r="CN5" s="335"/>
      <c r="CO5" s="335" t="s">
        <v>302</v>
      </c>
      <c r="CP5" s="304" t="s">
        <v>365</v>
      </c>
    </row>
    <row r="6" ht="15.0" customHeight="1">
      <c r="A6" s="336" t="s">
        <v>22</v>
      </c>
      <c r="B6" s="35"/>
      <c r="C6" s="337" t="s">
        <v>23</v>
      </c>
      <c r="D6" s="338" t="s">
        <v>25</v>
      </c>
      <c r="E6" s="304" t="s">
        <v>27</v>
      </c>
      <c r="F6" s="334" t="s">
        <v>99</v>
      </c>
      <c r="G6" s="304" t="s">
        <v>366</v>
      </c>
      <c r="H6" s="283"/>
      <c r="I6" s="284" t="s">
        <v>367</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368</v>
      </c>
      <c r="J7" s="352">
        <f>0</f>
        <v>0</v>
      </c>
      <c r="K7" s="353">
        <f>K6-(K$6-K$18)*0.25/$G$19</f>
        <v>18.41351343</v>
      </c>
      <c r="L7" s="310" t="str">
        <f t="shared" si="1"/>
        <v>#NAME?</v>
      </c>
      <c r="M7" s="310">
        <f>M6</f>
        <v>1389.18</v>
      </c>
      <c r="N7" s="310">
        <v>0.0</v>
      </c>
      <c r="O7" s="310" t="str">
        <f>IF(AND(N7&gt;0,N7=MAX(N$7:N$17)),1,0)</f>
        <v>#DIV/0!</v>
      </c>
      <c r="P7" s="310">
        <f>M7</f>
        <v>1389.18</v>
      </c>
      <c r="Q7" s="251" t="str">
        <f>0.0000000002*(P7-P8)/($J8-$J7)</f>
        <v>#DIV/0!</v>
      </c>
      <c r="R7" s="353">
        <f>R6-(R$6-R$18)*0.25/$G$19</f>
        <v>18.64015436</v>
      </c>
      <c r="S7" s="310" t="str">
        <f t="shared" si="2"/>
        <v>#NAME?</v>
      </c>
      <c r="T7" s="310">
        <f>T6</f>
        <v>1354.44</v>
      </c>
      <c r="U7" s="310">
        <v>0.0</v>
      </c>
      <c r="V7" s="310" t="str">
        <f>IF(AND(U7&gt;0,U7=MAX(U$7:U$17)),1,0)</f>
        <v>#DIV/0!</v>
      </c>
      <c r="W7" s="310">
        <f>T7</f>
        <v>1354.44</v>
      </c>
      <c r="X7" s="251" t="str">
        <f>0.0000000002*(W7-W8)/($J8-$J7)</f>
        <v>#DIV/0!</v>
      </c>
      <c r="Y7" s="353">
        <f>Y6-(Y$6-Y$18)*0.25/$G$19</f>
        <v>19.04487033</v>
      </c>
      <c r="Z7" s="310" t="str">
        <f t="shared" si="3"/>
        <v>#NAME?</v>
      </c>
      <c r="AA7" s="310">
        <f>AA6</f>
        <v>1108.69</v>
      </c>
      <c r="AB7" s="310">
        <v>0.0</v>
      </c>
      <c r="AC7" s="310" t="str">
        <f>IF(AND(AB7&gt;0,AB7=MAX(AB$7:AB$17)),1,0)</f>
        <v>#DIV/0!</v>
      </c>
      <c r="AD7" s="310">
        <f>AA7</f>
        <v>1108.69</v>
      </c>
      <c r="AE7" s="251" t="str">
        <f>0.0000000002*(AD7-AD8)/($J8-$J7)</f>
        <v>#DIV/0!</v>
      </c>
      <c r="AF7" s="353">
        <f>AF6-(AF$6-AF$18)*0.25/$G$19</f>
        <v>19.40911469</v>
      </c>
      <c r="AG7" s="310" t="str">
        <f t="shared" si="4"/>
        <v>#NAME?</v>
      </c>
      <c r="AH7" s="310">
        <f>AH6</f>
        <v>1129.215</v>
      </c>
      <c r="AI7" s="310">
        <v>0.0</v>
      </c>
      <c r="AJ7" s="310" t="str">
        <f>IF(AND(AI7&gt;0,AI7=MAX(AI$7:AI$17)),1,0)</f>
        <v>#DIV/0!</v>
      </c>
      <c r="AK7" s="310">
        <f>AH7</f>
        <v>1129.215</v>
      </c>
      <c r="AL7" s="251" t="str">
        <f>0.0000000002*(AK7-AK8)/($J8-$J7)</f>
        <v>#DIV/0!</v>
      </c>
      <c r="AM7" s="353">
        <f>AM6-(AM$6-AM$18)*0.25/$G$19</f>
        <v>19.73288746</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19.90286817</v>
      </c>
      <c r="BP7" s="310" t="str">
        <f t="shared" si="9"/>
        <v>#NAME?</v>
      </c>
      <c r="BQ7" s="310">
        <f>BQ6</f>
        <v>1557.46</v>
      </c>
      <c r="BR7" s="310">
        <v>0.0</v>
      </c>
      <c r="BS7" s="310" t="str">
        <f>IF(AND(BR7&gt;0,BR7=MAX(BR$7:BR$17)),1,0)</f>
        <v>#DIV/0!</v>
      </c>
      <c r="BT7" s="310">
        <f>BQ7</f>
        <v>1557.46</v>
      </c>
      <c r="BU7" s="251" t="str">
        <f>0.0000000002*(BT7-BT8)/($J8-$J7)</f>
        <v>#DIV/0!</v>
      </c>
      <c r="BV7" s="353">
        <f>BV6-(BV$6-BV$18)*0.25/$G$19</f>
        <v>19.40102037</v>
      </c>
      <c r="BW7" s="310" t="str">
        <f t="shared" si="10"/>
        <v>#NAME?</v>
      </c>
      <c r="BX7" s="310">
        <f>BX6</f>
        <v>1509.67</v>
      </c>
      <c r="BY7" s="310">
        <v>0.0</v>
      </c>
      <c r="BZ7" s="310" t="str">
        <f>IF(AND(BY7&gt;0,BY7=MAX(BY$7:BY$17)),1,0)</f>
        <v>#DIV/0!</v>
      </c>
      <c r="CA7" s="310">
        <f>BX7</f>
        <v>1509.67</v>
      </c>
      <c r="CB7" s="251" t="str">
        <f>0.0000000002*(CA7-CA8)/($J8-$J7)</f>
        <v>#DIV/0!</v>
      </c>
      <c r="CC7" s="353">
        <f>CC6-(CC$6-CC$18)*0.25/$G$19</f>
        <v>18.93154986</v>
      </c>
      <c r="CD7" s="310" t="str">
        <f t="shared" si="11"/>
        <v>#NAME?</v>
      </c>
      <c r="CE7" s="310">
        <f>CE6</f>
        <v>1429.06</v>
      </c>
      <c r="CF7" s="310">
        <v>0.0</v>
      </c>
      <c r="CG7" s="310" t="str">
        <f>IF(AND(CF7&gt;0,CF7=MAX(CF$7:CF$17)),1,0)</f>
        <v>#DIV/0!</v>
      </c>
      <c r="CH7" s="310">
        <f>CE7</f>
        <v>1429.06</v>
      </c>
      <c r="CI7" s="251" t="str">
        <f>0.0000000002*(CH7-CH8)/($J8-$J7)</f>
        <v>#DIV/0!</v>
      </c>
      <c r="CJ7" s="353">
        <f>CJ6-(CJ$6-CJ$18)*0.25/$G$19</f>
        <v>18.54302253</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369</v>
      </c>
      <c r="J8" s="352">
        <f t="shared" ref="J8:J17" si="13">J7+F7</f>
        <v>0</v>
      </c>
      <c r="K8" s="353">
        <f t="shared" ref="K8:K17" si="14">K7-(K$6-K$18)*$G7/$G$19</f>
        <v>18.35005396</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18.58576054</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19.00666514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19.38547928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19.72220296</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19.8989829</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19.37706119</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18.88881185</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18.48474343</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370</v>
      </c>
      <c r="J9" s="352">
        <f t="shared" si="13"/>
        <v>0</v>
      </c>
      <c r="K9" s="353">
        <f t="shared" si="14"/>
        <v>17.48469765</v>
      </c>
      <c r="L9" s="310" t="str">
        <f t="shared" si="1"/>
        <v>#NAME?</v>
      </c>
      <c r="M9" s="310" t="str">
        <f t="shared" si="15"/>
        <v>#DIV/0!</v>
      </c>
      <c r="N9" s="310" t="str">
        <f t="shared" si="16"/>
        <v>#DIV/0!</v>
      </c>
      <c r="O9" s="310" t="str">
        <f>IF(AND(N9&gt;0,N9=MAX(N$7:N$17)),3,0)</f>
        <v>#DIV/0!</v>
      </c>
      <c r="P9" s="310">
        <f t="shared" si="17"/>
        <v>1389.18</v>
      </c>
      <c r="Q9" s="251" t="str">
        <f t="shared" si="18"/>
        <v>#DIV/0!</v>
      </c>
      <c r="R9" s="353">
        <f t="shared" si="19"/>
        <v>17.84402656</v>
      </c>
      <c r="S9" s="310" t="str">
        <f t="shared" si="2"/>
        <v>#NAME?</v>
      </c>
      <c r="T9" s="310" t="str">
        <f t="shared" si="20"/>
        <v>#DIV/0!</v>
      </c>
      <c r="U9" s="310" t="str">
        <f t="shared" si="21"/>
        <v>#DIV/0!</v>
      </c>
      <c r="V9" s="310" t="str">
        <f>IF(AND(U9&gt;0,U9=MAX(U$7:U$17)),3,0)</f>
        <v>#DIV/0!</v>
      </c>
      <c r="W9" s="310">
        <f t="shared" si="22"/>
        <v>1354.44</v>
      </c>
      <c r="X9" s="251" t="str">
        <f t="shared" si="23"/>
        <v>#DIV/0!</v>
      </c>
      <c r="Y9" s="353">
        <f t="shared" si="24"/>
        <v>18.48568532</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19.06317821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19.57650522</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19.8460019</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19.05034503</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18.30602087</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17.69002845</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iso</v>
      </c>
      <c r="C10" s="355">
        <f>'Calcoli componente'!C10</f>
        <v>9</v>
      </c>
      <c r="D10" s="309" t="str">
        <f>'Calcoli componente'!E10</f>
        <v/>
      </c>
      <c r="E10" s="356">
        <f>'Calcoli componente'!G10</f>
        <v>0.04</v>
      </c>
      <c r="F10" s="357">
        <f>'Calcoli componente'!J10</f>
        <v>0</v>
      </c>
      <c r="G10" s="358">
        <f>'Calcoli componente'!K10</f>
        <v>2.25</v>
      </c>
      <c r="H10" s="283"/>
      <c r="I10" s="329" t="s">
        <v>371</v>
      </c>
      <c r="J10" s="352">
        <f t="shared" si="13"/>
        <v>0</v>
      </c>
      <c r="K10" s="353">
        <f t="shared" si="14"/>
        <v>15.07323805</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15.77706119</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17.03388822</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18.16503254</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19.17049416</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19.69836151</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18.139896</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16.68197665</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15.4754227</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4" t="str">
        <f>IF('Caratteristiche componente'!C11&lt;&gt;"",'Caratteristiche componente'!C11,"")</f>
        <v>intonaco</v>
      </c>
      <c r="C11" s="355">
        <f>'Calcoli componente'!C11</f>
        <v>2</v>
      </c>
      <c r="D11" s="309" t="str">
        <f>'Calcoli componente'!E11</f>
        <v/>
      </c>
      <c r="E11" s="356">
        <f>'Calcoli componente'!G11</f>
        <v>0.9</v>
      </c>
      <c r="F11" s="357">
        <f>'Calcoli componente'!J11</f>
        <v>0</v>
      </c>
      <c r="G11" s="358">
        <f>'Calcoli componente'!K11</f>
        <v>0.02222222222</v>
      </c>
      <c r="H11" s="283"/>
      <c r="I11" s="329" t="s">
        <v>372</v>
      </c>
      <c r="J11" s="352">
        <f t="shared" si="13"/>
        <v>0</v>
      </c>
      <c r="K11" s="353">
        <f t="shared" si="14"/>
        <v>0.7948588809</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3.538450469</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8.437721163</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12.84706479</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16.76648134</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18.82417503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12.74907937</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7.065925369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2.362625503</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373</v>
      </c>
      <c r="J12" s="352">
        <f t="shared" si="13"/>
        <v>0</v>
      </c>
      <c r="K12" s="353">
        <f t="shared" si="14"/>
        <v>0.653837852</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3.417575302</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8.352820748</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12.79454165</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16.74273801</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18.81554109</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12.69583674</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6.970952023</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2.233116395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374</v>
      </c>
      <c r="J13" s="352">
        <f t="shared" si="13"/>
        <v>0</v>
      </c>
      <c r="K13" s="353">
        <f t="shared" si="14"/>
        <v>0.653837852</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3.417575302</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8.352820748</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12.79454165</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16.74273801</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18.81554109</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12.69583674</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6.970952023</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2.233116395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375</v>
      </c>
      <c r="J14" s="352">
        <f t="shared" si="13"/>
        <v>0</v>
      </c>
      <c r="K14" s="353">
        <f t="shared" si="14"/>
        <v>0.653837852</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3.417575302</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8.352820748</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12.79454165</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16.74273801</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18.81554109</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12.69583674</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6.970952023</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2.233116395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376</v>
      </c>
      <c r="J15" s="352">
        <f t="shared" si="13"/>
        <v>0</v>
      </c>
      <c r="K15" s="353">
        <f t="shared" si="14"/>
        <v>0.653837852</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3.417575302</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8.352820748</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12.79454165</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16.74273801</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18.81554109</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12.69583674</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6.970952023</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2.233116395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377</v>
      </c>
      <c r="J16" s="352">
        <f t="shared" si="13"/>
        <v>0</v>
      </c>
      <c r="K16" s="353">
        <f t="shared" si="14"/>
        <v>0.653837852</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3.417575302</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8.352820748</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12.79454165</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16.74273801</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18.81554109</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12.69583674</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6.970952023</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2.233116395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112</v>
      </c>
      <c r="B17" s="364"/>
      <c r="C17" s="365">
        <f>SUM(C$7:C$16)</f>
        <v>44</v>
      </c>
      <c r="D17" s="364"/>
      <c r="E17" s="366"/>
      <c r="F17" s="367">
        <f t="shared" ref="F17:G17" si="74">SUM(F$7:F$16)</f>
        <v>0</v>
      </c>
      <c r="G17" s="368">
        <f t="shared" si="74"/>
        <v>2.798585859</v>
      </c>
      <c r="H17" s="283"/>
      <c r="I17" s="329" t="s">
        <v>378</v>
      </c>
      <c r="J17" s="352">
        <f t="shared" si="13"/>
        <v>0</v>
      </c>
      <c r="K17" s="353">
        <f t="shared" si="14"/>
        <v>0.653837852</v>
      </c>
      <c r="L17" s="310" t="str">
        <f t="shared" si="1"/>
        <v>#NAME?</v>
      </c>
      <c r="M17" s="310">
        <f>M18</f>
        <v>516</v>
      </c>
      <c r="N17" s="310" t="str">
        <f t="shared" si="16"/>
        <v>#NAME?</v>
      </c>
      <c r="O17" s="310" t="str">
        <f>IF(AND(N17&gt;0,N17=MAX(N$7:N$17)),11,0)</f>
        <v>#NAME?</v>
      </c>
      <c r="P17" s="310">
        <f>M17</f>
        <v>516</v>
      </c>
      <c r="Q17" s="369"/>
      <c r="R17" s="353">
        <f t="shared" si="19"/>
        <v>3.417575302</v>
      </c>
      <c r="S17" s="310" t="str">
        <f t="shared" si="2"/>
        <v>#NAME?</v>
      </c>
      <c r="T17" s="310">
        <f>T18</f>
        <v>606</v>
      </c>
      <c r="U17" s="310" t="str">
        <f t="shared" si="21"/>
        <v>#NAME?</v>
      </c>
      <c r="V17" s="310" t="str">
        <f>IF(AND(U17&gt;0,U17=MAX(U$7:U$17)),11,0)</f>
        <v>#NAME?</v>
      </c>
      <c r="W17" s="310">
        <f>T17</f>
        <v>606</v>
      </c>
      <c r="X17" s="369"/>
      <c r="Y17" s="353">
        <f t="shared" si="24"/>
        <v>8.352820748</v>
      </c>
      <c r="Z17" s="310" t="str">
        <f t="shared" si="3"/>
        <v>#NAME?</v>
      </c>
      <c r="AA17" s="310">
        <f>AA18</f>
        <v>583</v>
      </c>
      <c r="AB17" s="310" t="str">
        <f t="shared" si="26"/>
        <v>#NAME?</v>
      </c>
      <c r="AC17" s="310" t="str">
        <f>IF(AND(AB17&gt;0,AB17=MAX(AB$7:AB$17)),11,0)</f>
        <v>#NAME?</v>
      </c>
      <c r="AD17" s="310">
        <f>AA17</f>
        <v>583</v>
      </c>
      <c r="AE17" s="369"/>
      <c r="AF17" s="353">
        <f t="shared" si="29"/>
        <v>12.79454165</v>
      </c>
      <c r="AG17" s="310" t="str">
        <f t="shared" si="4"/>
        <v>#NAME?</v>
      </c>
      <c r="AH17" s="310">
        <f>AH18</f>
        <v>804</v>
      </c>
      <c r="AI17" s="310" t="str">
        <f t="shared" si="31"/>
        <v>#NAME?</v>
      </c>
      <c r="AJ17" s="310" t="str">
        <f>IF(AND(AI17&gt;0,AI17=MAX(AI$7:AI$17)),11,0)</f>
        <v>#NAME?</v>
      </c>
      <c r="AK17" s="310">
        <f>AH17</f>
        <v>804</v>
      </c>
      <c r="AL17" s="369"/>
      <c r="AM17" s="353">
        <f t="shared" si="34"/>
        <v>16.74273801</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18.81554109</v>
      </c>
      <c r="BP17" s="310" t="str">
        <f t="shared" si="9"/>
        <v>#NAME?</v>
      </c>
      <c r="BQ17" s="310">
        <f>BQ18</f>
        <v>1504</v>
      </c>
      <c r="BR17" s="310" t="str">
        <f t="shared" si="56"/>
        <v>#NAME?</v>
      </c>
      <c r="BS17" s="310" t="str">
        <f>IF(AND(BR17&gt;0,BR17=MAX(BR$7:BR$17)),11,0)</f>
        <v>#NAME?</v>
      </c>
      <c r="BT17" s="310">
        <f>BQ17</f>
        <v>1504</v>
      </c>
      <c r="BU17" s="369"/>
      <c r="BV17" s="353">
        <f t="shared" si="59"/>
        <v>12.69583674</v>
      </c>
      <c r="BW17" s="310" t="str">
        <f t="shared" si="10"/>
        <v>#NAME?</v>
      </c>
      <c r="BX17" s="310">
        <f>BX18</f>
        <v>1180</v>
      </c>
      <c r="BY17" s="310" t="str">
        <f t="shared" si="61"/>
        <v>#NAME?</v>
      </c>
      <c r="BZ17" s="310" t="str">
        <f>IF(AND(BY17&gt;0,BY17=MAX(BY$7:BY$17)),11,0)</f>
        <v>#NAME?</v>
      </c>
      <c r="CA17" s="310">
        <f>BX17</f>
        <v>1180</v>
      </c>
      <c r="CB17" s="369"/>
      <c r="CC17" s="353">
        <f t="shared" si="64"/>
        <v>6.970952023</v>
      </c>
      <c r="CD17" s="310" t="str">
        <f t="shared" si="11"/>
        <v>#NAME?</v>
      </c>
      <c r="CE17" s="310">
        <f>CE18</f>
        <v>841</v>
      </c>
      <c r="CF17" s="310" t="str">
        <f t="shared" si="66"/>
        <v>#NAME?</v>
      </c>
      <c r="CG17" s="310" t="str">
        <f>IF(AND(CF17&gt;0,CF17=MAX(CF$7:CF$17)),11,0)</f>
        <v>#NAME?</v>
      </c>
      <c r="CH17" s="310">
        <f>CE17</f>
        <v>841</v>
      </c>
      <c r="CI17" s="369"/>
      <c r="CJ17" s="353">
        <f t="shared" si="69"/>
        <v>2.233116395</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379</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3.088585859</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380</v>
      </c>
      <c r="K20" s="376">
        <f>(K7-K18)/(K6-K18)</f>
        <v>0.9190568074</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381</v>
      </c>
      <c r="F25" s="292" t="s">
        <v>382</v>
      </c>
      <c r="G25" s="292" t="s">
        <v>383</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322</v>
      </c>
      <c r="D26" s="283"/>
      <c r="E26" s="332" t="s">
        <v>302</v>
      </c>
      <c r="F26" s="298" t="s">
        <v>302</v>
      </c>
      <c r="G26" s="298" t="s">
        <v>384</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385</v>
      </c>
      <c r="G28" s="384" t="s">
        <v>386</v>
      </c>
      <c r="H28" s="292" t="s">
        <v>327</v>
      </c>
      <c r="I28" s="292" t="s">
        <v>387</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99</v>
      </c>
      <c r="G29" s="335" t="s">
        <v>302</v>
      </c>
      <c r="H29" s="304" t="s">
        <v>302</v>
      </c>
      <c r="I29" s="304" t="s">
        <v>302</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368</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369</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370</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371</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372</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373</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374</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375</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376</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377</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378</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0" t="s">
        <v>401</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402</v>
      </c>
      <c r="C3" s="390" t="s">
        <v>403</v>
      </c>
      <c r="D3" s="391">
        <v>0.0</v>
      </c>
      <c r="E3" s="391">
        <v>2.8</v>
      </c>
      <c r="F3" s="391">
        <v>8.1</v>
      </c>
      <c r="G3" s="391">
        <v>13.1</v>
      </c>
      <c r="H3" s="391">
        <v>17.3</v>
      </c>
      <c r="I3" s="391">
        <v>22.0</v>
      </c>
      <c r="J3" s="391">
        <v>24.7</v>
      </c>
      <c r="K3" s="391">
        <v>23.6</v>
      </c>
      <c r="L3" s="391">
        <v>19.9</v>
      </c>
      <c r="M3" s="391">
        <v>13.1</v>
      </c>
      <c r="N3" s="391">
        <v>6.9</v>
      </c>
      <c r="O3" s="391">
        <v>1.9</v>
      </c>
    </row>
    <row r="4" ht="15.0" customHeight="1">
      <c r="B4" s="106" t="s">
        <v>404</v>
      </c>
      <c r="C4" s="390" t="s">
        <v>405</v>
      </c>
      <c r="D4" s="391">
        <v>6.3</v>
      </c>
      <c r="E4" s="391">
        <v>7.1</v>
      </c>
      <c r="F4" s="391">
        <v>9.9</v>
      </c>
      <c r="G4" s="391">
        <v>13.4</v>
      </c>
      <c r="H4" s="391">
        <v>17.0</v>
      </c>
      <c r="I4" s="391">
        <v>21.8</v>
      </c>
      <c r="J4" s="391">
        <v>24.4</v>
      </c>
      <c r="K4" s="391">
        <v>24.1</v>
      </c>
      <c r="L4" s="391">
        <v>21.3</v>
      </c>
      <c r="M4" s="391">
        <v>16.5</v>
      </c>
      <c r="N4" s="391">
        <v>12.1</v>
      </c>
      <c r="O4" s="391">
        <v>7.8</v>
      </c>
    </row>
    <row r="5" ht="15.0" customHeight="1">
      <c r="B5" s="106" t="s">
        <v>406</v>
      </c>
      <c r="C5" s="390" t="s">
        <v>403</v>
      </c>
      <c r="D5" s="391">
        <v>-0.3</v>
      </c>
      <c r="E5" s="391">
        <v>2.6</v>
      </c>
      <c r="F5" s="391">
        <v>6.7</v>
      </c>
      <c r="G5" s="391">
        <v>11.0</v>
      </c>
      <c r="H5" s="391">
        <v>14.7</v>
      </c>
      <c r="I5" s="391">
        <v>18.7</v>
      </c>
      <c r="J5" s="391">
        <v>20.5</v>
      </c>
      <c r="K5" s="391">
        <v>19.4</v>
      </c>
      <c r="L5" s="391">
        <v>15.9</v>
      </c>
      <c r="M5" s="391">
        <v>10.3</v>
      </c>
      <c r="N5" s="391">
        <v>4.8</v>
      </c>
      <c r="O5" s="391">
        <v>0.8</v>
      </c>
    </row>
    <row r="6" ht="15.0" customHeight="1">
      <c r="B6" s="106" t="s">
        <v>407</v>
      </c>
      <c r="C6" s="390" t="s">
        <v>403</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408</v>
      </c>
      <c r="C7" s="390" t="s">
        <v>403</v>
      </c>
      <c r="D7" s="391">
        <v>5.1</v>
      </c>
      <c r="E7" s="391">
        <v>5.9</v>
      </c>
      <c r="F7" s="391">
        <v>9.2</v>
      </c>
      <c r="G7" s="391">
        <v>12.6</v>
      </c>
      <c r="H7" s="391">
        <v>16.4</v>
      </c>
      <c r="I7" s="391">
        <v>20.9</v>
      </c>
      <c r="J7" s="391">
        <v>24.0</v>
      </c>
      <c r="K7" s="391">
        <v>23.4</v>
      </c>
      <c r="L7" s="391">
        <v>20.3</v>
      </c>
      <c r="M7" s="391">
        <v>15.0</v>
      </c>
      <c r="N7" s="391">
        <v>10.2</v>
      </c>
      <c r="O7" s="391">
        <v>6.1</v>
      </c>
    </row>
    <row r="8" ht="15.0" customHeight="1">
      <c r="B8" s="106" t="s">
        <v>409</v>
      </c>
      <c r="C8" s="390" t="s">
        <v>405</v>
      </c>
      <c r="D8" s="391">
        <v>5.5</v>
      </c>
      <c r="E8" s="391">
        <v>6.6</v>
      </c>
      <c r="F8" s="391">
        <v>9.5</v>
      </c>
      <c r="G8" s="391">
        <v>13.3</v>
      </c>
      <c r="H8" s="391">
        <v>17.2</v>
      </c>
      <c r="I8" s="391">
        <v>21.7</v>
      </c>
      <c r="J8" s="391">
        <v>24.4</v>
      </c>
      <c r="K8" s="391">
        <v>24.3</v>
      </c>
      <c r="L8" s="391">
        <v>21.1</v>
      </c>
      <c r="M8" s="391">
        <v>15.8</v>
      </c>
      <c r="N8" s="391">
        <v>10.9</v>
      </c>
      <c r="O8" s="391">
        <v>7.0</v>
      </c>
    </row>
    <row r="9" ht="15.0" customHeight="1">
      <c r="B9" s="106" t="s">
        <v>410</v>
      </c>
      <c r="C9" s="390" t="s">
        <v>403</v>
      </c>
      <c r="D9" s="391">
        <v>-0.4</v>
      </c>
      <c r="E9" s="391">
        <v>2.7</v>
      </c>
      <c r="F9" s="391">
        <v>7.9</v>
      </c>
      <c r="G9" s="391">
        <v>13.0</v>
      </c>
      <c r="H9" s="391">
        <v>17.0</v>
      </c>
      <c r="I9" s="391">
        <v>21.6</v>
      </c>
      <c r="J9" s="391">
        <v>24.2</v>
      </c>
      <c r="K9" s="391">
        <v>22.9</v>
      </c>
      <c r="L9" s="391">
        <v>18.9</v>
      </c>
      <c r="M9" s="391">
        <v>12.7</v>
      </c>
      <c r="N9" s="391">
        <v>6.1</v>
      </c>
      <c r="O9" s="391">
        <v>1.3</v>
      </c>
    </row>
    <row r="10" ht="15.0" customHeight="1">
      <c r="B10" s="106" t="s">
        <v>411</v>
      </c>
      <c r="C10" s="390" t="s">
        <v>405</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412</v>
      </c>
      <c r="C11" s="390" t="s">
        <v>84</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413</v>
      </c>
      <c r="C12" s="390" t="s">
        <v>403</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414</v>
      </c>
      <c r="C13" s="390" t="s">
        <v>84</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415</v>
      </c>
      <c r="C14" s="390" t="s">
        <v>403</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416</v>
      </c>
      <c r="C15" s="390" t="s">
        <v>403</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417</v>
      </c>
      <c r="C16" s="390" t="s">
        <v>403</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418</v>
      </c>
      <c r="C17" s="390" t="s">
        <v>403</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419</v>
      </c>
      <c r="C18" s="390" t="s">
        <v>84</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420</v>
      </c>
      <c r="C19" s="390" t="s">
        <v>84</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421</v>
      </c>
      <c r="C20" s="390" t="s">
        <v>405</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422</v>
      </c>
      <c r="C21" s="390" t="s">
        <v>403</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423</v>
      </c>
      <c r="C22" s="390" t="s">
        <v>84</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424</v>
      </c>
      <c r="C23" s="390" t="s">
        <v>401</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425</v>
      </c>
      <c r="C24" s="390" t="s">
        <v>84</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426</v>
      </c>
      <c r="C25" s="390" t="s">
        <v>405</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427</v>
      </c>
      <c r="C26" s="390" t="s">
        <v>403</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428</v>
      </c>
      <c r="C27" s="390" t="s">
        <v>84</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429</v>
      </c>
      <c r="C28" s="390" t="s">
        <v>403</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430</v>
      </c>
      <c r="C29" s="390" t="s">
        <v>401</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431</v>
      </c>
      <c r="C30" s="390" t="s">
        <v>432</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433</v>
      </c>
      <c r="C31" s="390" t="s">
        <v>403</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434</v>
      </c>
      <c r="C32" s="390" t="s">
        <v>403</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435</v>
      </c>
      <c r="C33" s="390" t="s">
        <v>405</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436</v>
      </c>
      <c r="C34" s="390" t="s">
        <v>405</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437</v>
      </c>
      <c r="C35" s="390" t="s">
        <v>405</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438</v>
      </c>
      <c r="C36" s="390" t="s">
        <v>403</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439</v>
      </c>
      <c r="C37" s="390" t="s">
        <v>405</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440</v>
      </c>
      <c r="C38" s="390" t="s">
        <v>403</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441</v>
      </c>
      <c r="C39" s="390" t="s">
        <v>405</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442</v>
      </c>
      <c r="C40" s="390" t="s">
        <v>84</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443</v>
      </c>
      <c r="C41" s="390" t="s">
        <v>405</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444</v>
      </c>
      <c r="C42" s="390" t="s">
        <v>84</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445</v>
      </c>
      <c r="C43" s="390" t="s">
        <v>84</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446</v>
      </c>
      <c r="C44" s="390" t="s">
        <v>403</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447</v>
      </c>
      <c r="C45" s="390" t="s">
        <v>405</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448</v>
      </c>
      <c r="C46" s="390" t="s">
        <v>403</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449</v>
      </c>
      <c r="C47" s="390" t="s">
        <v>405</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450</v>
      </c>
      <c r="C48" s="390" t="s">
        <v>405</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451</v>
      </c>
      <c r="C49" s="390" t="s">
        <v>403</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452</v>
      </c>
      <c r="C50" s="390" t="s">
        <v>405</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453</v>
      </c>
      <c r="C51" s="390" t="s">
        <v>405</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454</v>
      </c>
      <c r="C52" s="390" t="s">
        <v>401</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455</v>
      </c>
      <c r="C53" s="390" t="s">
        <v>403</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456</v>
      </c>
      <c r="C54" s="390" t="s">
        <v>403</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457</v>
      </c>
      <c r="C55" s="390" t="s">
        <v>84</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458</v>
      </c>
      <c r="C56" s="390" t="s">
        <v>403</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459</v>
      </c>
      <c r="C57" s="390" t="s">
        <v>405</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460</v>
      </c>
      <c r="C58" s="390" t="s">
        <v>84</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461</v>
      </c>
      <c r="C59" s="390" t="s">
        <v>403</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462</v>
      </c>
      <c r="C60" s="390" t="s">
        <v>401</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463</v>
      </c>
      <c r="C61" s="390" t="s">
        <v>403</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464</v>
      </c>
      <c r="C62" s="390" t="s">
        <v>403</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465</v>
      </c>
      <c r="C63" s="390" t="s">
        <v>403</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466</v>
      </c>
      <c r="C64" s="390" t="s">
        <v>405</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467</v>
      </c>
      <c r="C65" s="390" t="s">
        <v>405</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468</v>
      </c>
      <c r="C66" s="390" t="s">
        <v>403</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469</v>
      </c>
      <c r="C67" s="390" t="s">
        <v>405</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470</v>
      </c>
      <c r="C68" s="390" t="s">
        <v>405</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471</v>
      </c>
      <c r="C69" s="390" t="s">
        <v>403</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472</v>
      </c>
      <c r="C70" s="390" t="s">
        <v>403</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473</v>
      </c>
      <c r="C71" s="390" t="s">
        <v>405</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474</v>
      </c>
      <c r="C72" s="390" t="s">
        <v>84</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475</v>
      </c>
      <c r="C73" s="390" t="s">
        <v>403</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476</v>
      </c>
      <c r="C74" s="390" t="s">
        <v>401</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477</v>
      </c>
      <c r="C75" s="390" t="s">
        <v>403</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478</v>
      </c>
      <c r="C76" s="390" t="s">
        <v>403</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479</v>
      </c>
      <c r="C77" s="390" t="s">
        <v>403</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480</v>
      </c>
      <c r="C78" s="390" t="s">
        <v>405</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481</v>
      </c>
      <c r="C79" s="390" t="s">
        <v>403</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482</v>
      </c>
      <c r="C80" s="390" t="s">
        <v>84</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483</v>
      </c>
      <c r="C81" s="390" t="s">
        <v>84</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484</v>
      </c>
      <c r="C82" s="390" t="s">
        <v>405</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485</v>
      </c>
      <c r="C83" s="390" t="s">
        <v>405</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486</v>
      </c>
      <c r="C84" s="390" t="s">
        <v>401</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487</v>
      </c>
      <c r="C85" s="390" t="s">
        <v>403</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488</v>
      </c>
      <c r="C86" s="390" t="s">
        <v>405</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489</v>
      </c>
      <c r="C87" s="390" t="s">
        <v>84</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490</v>
      </c>
      <c r="C88" s="390" t="s">
        <v>405</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491</v>
      </c>
      <c r="C89" s="390" t="s">
        <v>405</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284</v>
      </c>
      <c r="C90" s="390" t="s">
        <v>403</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492</v>
      </c>
      <c r="C91" s="390" t="s">
        <v>401</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493</v>
      </c>
      <c r="C92" s="390" t="s">
        <v>403</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494</v>
      </c>
      <c r="C93" s="390" t="s">
        <v>403</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495</v>
      </c>
      <c r="C94" s="390" t="s">
        <v>405</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496</v>
      </c>
      <c r="C95" s="390" t="s">
        <v>403</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497</v>
      </c>
      <c r="C96" s="390" t="s">
        <v>403</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498</v>
      </c>
      <c r="C97" s="390" t="s">
        <v>403</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499</v>
      </c>
      <c r="C98" s="390" t="s">
        <v>403</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500</v>
      </c>
      <c r="C99" s="390" t="s">
        <v>403</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501</v>
      </c>
      <c r="C100" s="390" t="s">
        <v>405</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502</v>
      </c>
      <c r="C101" s="390" t="s">
        <v>403</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503</v>
      </c>
      <c r="C102" s="390" t="s">
        <v>405</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402</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404</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406</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407</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408</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409</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410</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411</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412</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413</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414</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415</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416</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417</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418</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419</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420</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421</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422</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423</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424</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425</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426</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427</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428</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429</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430</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431</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433</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434</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435</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436</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437</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438</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439</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440</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441</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442</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443</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444</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445</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446</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447</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448</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449</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450</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451</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452</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453</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454</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455</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456</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457</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458</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459</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460</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461</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462</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463</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464</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465</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466</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467</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468</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469</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470</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471</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472</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473</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474</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475</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476</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477</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478</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479</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480</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481</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482</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483</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484</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485</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486</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487</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488</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489</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490</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491</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284</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492</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493</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494</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495</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496</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497</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498</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499</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500</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501</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502</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503</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504</v>
      </c>
      <c r="C2" s="398" t="s">
        <v>505</v>
      </c>
      <c r="D2" s="398" t="s">
        <v>506</v>
      </c>
      <c r="E2" s="398" t="s">
        <v>507</v>
      </c>
      <c r="F2" s="398" t="s">
        <v>508</v>
      </c>
      <c r="G2" s="399" t="s">
        <v>509</v>
      </c>
      <c r="H2" s="400" t="s">
        <v>510</v>
      </c>
      <c r="I2" s="396"/>
      <c r="J2" s="396"/>
      <c r="K2" s="396"/>
      <c r="L2" s="396"/>
      <c r="M2" s="396"/>
      <c r="N2" s="396"/>
      <c r="O2" s="396"/>
      <c r="P2" s="396"/>
      <c r="Q2" s="396"/>
      <c r="R2" s="396"/>
      <c r="S2" s="396"/>
      <c r="T2" s="396"/>
      <c r="U2" s="396"/>
      <c r="V2" s="396"/>
      <c r="W2" s="396"/>
      <c r="X2" s="396"/>
      <c r="Y2" s="396"/>
      <c r="Z2" s="396"/>
    </row>
    <row r="3" ht="12.75" customHeight="1">
      <c r="A3" s="396"/>
      <c r="B3" s="401" t="s">
        <v>511</v>
      </c>
      <c r="C3" s="402" t="s">
        <v>512</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513</v>
      </c>
      <c r="C4" s="408" t="s">
        <v>514</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513</v>
      </c>
      <c r="C5" s="408" t="s">
        <v>514</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513</v>
      </c>
      <c r="C6" s="408" t="s">
        <v>514</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513</v>
      </c>
      <c r="C7" s="408" t="s">
        <v>515</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513</v>
      </c>
      <c r="C8" s="408" t="s">
        <v>515</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513</v>
      </c>
      <c r="C9" s="408" t="s">
        <v>515</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513</v>
      </c>
      <c r="C10" s="408" t="s">
        <v>515</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513</v>
      </c>
      <c r="C11" s="408" t="s">
        <v>515</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513</v>
      </c>
      <c r="C12" s="408" t="s">
        <v>515</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513</v>
      </c>
      <c r="C13" s="408" t="s">
        <v>515</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513</v>
      </c>
      <c r="C14" s="408" t="s">
        <v>515</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513</v>
      </c>
      <c r="C15" s="408" t="s">
        <v>516</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513</v>
      </c>
      <c r="C16" s="408" t="s">
        <v>516</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513</v>
      </c>
      <c r="C17" s="408" t="s">
        <v>516</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513</v>
      </c>
      <c r="C18" s="408" t="s">
        <v>516</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513</v>
      </c>
      <c r="C19" s="408" t="s">
        <v>516</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513</v>
      </c>
      <c r="C20" s="408" t="s">
        <v>516</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513</v>
      </c>
      <c r="C21" s="408" t="s">
        <v>517</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513</v>
      </c>
      <c r="C22" s="408" t="s">
        <v>517</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513</v>
      </c>
      <c r="C23" s="408" t="s">
        <v>517</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513</v>
      </c>
      <c r="C24" s="408" t="s">
        <v>517</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513</v>
      </c>
      <c r="C25" s="408" t="s">
        <v>517</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513</v>
      </c>
      <c r="C26" s="408" t="s">
        <v>518</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513</v>
      </c>
      <c r="C27" s="408" t="s">
        <v>518</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513</v>
      </c>
      <c r="C28" s="408" t="s">
        <v>518</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513</v>
      </c>
      <c r="C29" s="408" t="s">
        <v>519</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513</v>
      </c>
      <c r="C30" s="408" t="s">
        <v>519</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520</v>
      </c>
      <c r="C31" s="408" t="s">
        <v>521</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520</v>
      </c>
      <c r="C32" s="408" t="s">
        <v>522</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520</v>
      </c>
      <c r="C33" s="408" t="s">
        <v>523</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520</v>
      </c>
      <c r="C34" s="408" t="s">
        <v>524</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525</v>
      </c>
      <c r="C35" s="408" t="s">
        <v>526</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525</v>
      </c>
      <c r="C36" s="408" t="s">
        <v>526</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525</v>
      </c>
      <c r="C37" s="408" t="s">
        <v>526</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525</v>
      </c>
      <c r="C38" s="408" t="s">
        <v>527</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525</v>
      </c>
      <c r="C39" s="408" t="s">
        <v>527</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525</v>
      </c>
      <c r="C40" s="408" t="s">
        <v>527</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525</v>
      </c>
      <c r="C41" s="408" t="s">
        <v>528</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525</v>
      </c>
      <c r="C42" s="408" t="s">
        <v>529</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525</v>
      </c>
      <c r="C43" s="408" t="s">
        <v>529</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525</v>
      </c>
      <c r="C44" s="408" t="s">
        <v>530</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525</v>
      </c>
      <c r="C45" s="408" t="s">
        <v>530</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525</v>
      </c>
      <c r="C46" s="408" t="s">
        <v>531</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525</v>
      </c>
      <c r="C47" s="408" t="s">
        <v>531</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525</v>
      </c>
      <c r="C48" s="408" t="s">
        <v>531</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525</v>
      </c>
      <c r="C49" s="408" t="s">
        <v>532</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525</v>
      </c>
      <c r="C50" s="408" t="s">
        <v>533</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525</v>
      </c>
      <c r="C51" s="408" t="s">
        <v>533</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525</v>
      </c>
      <c r="C52" s="408" t="s">
        <v>533</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525</v>
      </c>
      <c r="C53" s="408" t="s">
        <v>534</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525</v>
      </c>
      <c r="C54" s="408" t="s">
        <v>535</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525</v>
      </c>
      <c r="C55" s="408" t="s">
        <v>535</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525</v>
      </c>
      <c r="C56" s="408" t="s">
        <v>535</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525</v>
      </c>
      <c r="C57" s="408" t="s">
        <v>535</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525</v>
      </c>
      <c r="C58" s="408" t="s">
        <v>535</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536</v>
      </c>
      <c r="C59" s="408" t="s">
        <v>537</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536</v>
      </c>
      <c r="C60" s="408" t="s">
        <v>537</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536</v>
      </c>
      <c r="C61" s="408" t="s">
        <v>537</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536</v>
      </c>
      <c r="C62" s="408" t="s">
        <v>537</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536</v>
      </c>
      <c r="C63" s="408" t="s">
        <v>537</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536</v>
      </c>
      <c r="C64" s="408" t="s">
        <v>538</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536</v>
      </c>
      <c r="C65" s="408" t="s">
        <v>539</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536</v>
      </c>
      <c r="C66" s="408" t="s">
        <v>540</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536</v>
      </c>
      <c r="C67" s="408" t="s">
        <v>541</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542</v>
      </c>
      <c r="C68" s="408" t="s">
        <v>543</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542</v>
      </c>
      <c r="C69" s="408" t="s">
        <v>543</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542</v>
      </c>
      <c r="C70" s="408" t="s">
        <v>543</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542</v>
      </c>
      <c r="C71" s="408" t="s">
        <v>543</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542</v>
      </c>
      <c r="C72" s="408" t="s">
        <v>543</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542</v>
      </c>
      <c r="C73" s="408" t="s">
        <v>543</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542</v>
      </c>
      <c r="C74" s="408" t="s">
        <v>543</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542</v>
      </c>
      <c r="C75" s="408" t="s">
        <v>543</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544</v>
      </c>
      <c r="C76" s="408" t="s">
        <v>545</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544</v>
      </c>
      <c r="C77" s="408" t="s">
        <v>546</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544</v>
      </c>
      <c r="C78" s="408" t="s">
        <v>547</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544</v>
      </c>
      <c r="C79" s="418" t="s">
        <v>548</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544</v>
      </c>
      <c r="C80" s="408" t="s">
        <v>549</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544</v>
      </c>
      <c r="C81" s="418" t="s">
        <v>550</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544</v>
      </c>
      <c r="C82" s="408" t="s">
        <v>551</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544</v>
      </c>
      <c r="C83" s="418" t="s">
        <v>552</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553</v>
      </c>
      <c r="C84" s="408" t="s">
        <v>554</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553</v>
      </c>
      <c r="C85" s="408" t="s">
        <v>554</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553</v>
      </c>
      <c r="C86" s="408" t="s">
        <v>554</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553</v>
      </c>
      <c r="C87" s="408" t="s">
        <v>554</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555</v>
      </c>
      <c r="C88" s="408" t="s">
        <v>556</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555</v>
      </c>
      <c r="C89" s="408" t="s">
        <v>557</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555</v>
      </c>
      <c r="C90" s="408" t="s">
        <v>558</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555</v>
      </c>
      <c r="C91" s="408" t="s">
        <v>559</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555</v>
      </c>
      <c r="C92" s="408" t="s">
        <v>560</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555</v>
      </c>
      <c r="C93" s="408" t="s">
        <v>561</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562</v>
      </c>
      <c r="C94" s="408" t="s">
        <v>563</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562</v>
      </c>
      <c r="C95" s="408" t="s">
        <v>563</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562</v>
      </c>
      <c r="C96" s="408" t="s">
        <v>563</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562</v>
      </c>
      <c r="C97" s="408" t="s">
        <v>564</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562</v>
      </c>
      <c r="C98" s="408" t="s">
        <v>565</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562</v>
      </c>
      <c r="C99" s="408" t="s">
        <v>566</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562</v>
      </c>
      <c r="C100" s="408" t="s">
        <v>567</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562</v>
      </c>
      <c r="C101" s="408" t="s">
        <v>568</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562</v>
      </c>
      <c r="C102" s="408" t="s">
        <v>568</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562</v>
      </c>
      <c r="C103" s="408" t="s">
        <v>569</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562</v>
      </c>
      <c r="C104" s="408" t="s">
        <v>570</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562</v>
      </c>
      <c r="C105" s="408" t="s">
        <v>571</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562</v>
      </c>
      <c r="C106" s="418" t="s">
        <v>572</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573</v>
      </c>
      <c r="C107" s="408" t="s">
        <v>574</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573</v>
      </c>
      <c r="C108" s="408" t="s">
        <v>574</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573</v>
      </c>
      <c r="C109" s="408" t="s">
        <v>575</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573</v>
      </c>
      <c r="C110" s="408" t="s">
        <v>575</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573</v>
      </c>
      <c r="C111" s="408" t="s">
        <v>576</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573</v>
      </c>
      <c r="C112" s="408" t="s">
        <v>576</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573</v>
      </c>
      <c r="C113" s="408" t="s">
        <v>577</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573</v>
      </c>
      <c r="C114" s="408" t="s">
        <v>578</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573</v>
      </c>
      <c r="C115" s="408" t="s">
        <v>578</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573</v>
      </c>
      <c r="C116" s="408" t="s">
        <v>578</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573</v>
      </c>
      <c r="C117" s="408" t="s">
        <v>579</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573</v>
      </c>
      <c r="C118" s="408" t="s">
        <v>579</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573</v>
      </c>
      <c r="C119" s="408" t="s">
        <v>579</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573</v>
      </c>
      <c r="C120" s="408" t="s">
        <v>579</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573</v>
      </c>
      <c r="C121" s="408" t="s">
        <v>579</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573</v>
      </c>
      <c r="C122" s="408" t="s">
        <v>580</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573</v>
      </c>
      <c r="C123" s="408" t="s">
        <v>580</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573</v>
      </c>
      <c r="C124" s="408" t="s">
        <v>580</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573</v>
      </c>
      <c r="C125" s="408" t="s">
        <v>581</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573</v>
      </c>
      <c r="C126" s="408" t="s">
        <v>581</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573</v>
      </c>
      <c r="C127" s="408" t="s">
        <v>582</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573</v>
      </c>
      <c r="C128" s="408" t="s">
        <v>582</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573</v>
      </c>
      <c r="C129" s="408" t="s">
        <v>583</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573</v>
      </c>
      <c r="C130" s="408" t="s">
        <v>583</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573</v>
      </c>
      <c r="C131" s="408" t="s">
        <v>583</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573</v>
      </c>
      <c r="C132" s="408" t="s">
        <v>583</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573</v>
      </c>
      <c r="C133" s="408" t="s">
        <v>584</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573</v>
      </c>
      <c r="C134" s="408" t="s">
        <v>584</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573</v>
      </c>
      <c r="C135" s="408" t="s">
        <v>585</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573</v>
      </c>
      <c r="C136" s="408" t="s">
        <v>586</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573</v>
      </c>
      <c r="C137" s="408" t="s">
        <v>586</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573</v>
      </c>
      <c r="C138" s="408" t="s">
        <v>586</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573</v>
      </c>
      <c r="C139" s="408" t="s">
        <v>587</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573</v>
      </c>
      <c r="C140" s="408" t="s">
        <v>587</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573</v>
      </c>
      <c r="C141" s="408" t="s">
        <v>587</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573</v>
      </c>
      <c r="C142" s="408" t="s">
        <v>587</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588</v>
      </c>
      <c r="C143" s="408" t="s">
        <v>589</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588</v>
      </c>
      <c r="C144" s="408" t="s">
        <v>590</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588</v>
      </c>
      <c r="C145" s="408" t="s">
        <v>591</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588</v>
      </c>
      <c r="C146" s="408" t="s">
        <v>592</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588</v>
      </c>
      <c r="C147" s="408" t="s">
        <v>593</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588</v>
      </c>
      <c r="C148" s="408" t="s">
        <v>594</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588</v>
      </c>
      <c r="C149" s="408" t="s">
        <v>595</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588</v>
      </c>
      <c r="C150" s="408" t="s">
        <v>596</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588</v>
      </c>
      <c r="C151" s="408" t="s">
        <v>597</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588</v>
      </c>
      <c r="C152" s="408" t="s">
        <v>598</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588</v>
      </c>
      <c r="C153" s="408" t="s">
        <v>599</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588</v>
      </c>
      <c r="C154" s="408" t="s">
        <v>600</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588</v>
      </c>
      <c r="C155" s="408" t="s">
        <v>601</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588</v>
      </c>
      <c r="C156" s="408" t="s">
        <v>602</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588</v>
      </c>
      <c r="C157" s="408" t="s">
        <v>603</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604</v>
      </c>
      <c r="C158" s="408" t="s">
        <v>605</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604</v>
      </c>
      <c r="C159" s="408" t="s">
        <v>606</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604</v>
      </c>
      <c r="C160" s="408" t="s">
        <v>607</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604</v>
      </c>
      <c r="C161" s="408" t="s">
        <v>608</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604</v>
      </c>
      <c r="C162" s="408" t="s">
        <v>609</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604</v>
      </c>
      <c r="C163" s="408" t="s">
        <v>610</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604</v>
      </c>
      <c r="C164" s="408" t="s">
        <v>611</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604</v>
      </c>
      <c r="C165" s="408" t="s">
        <v>612</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604</v>
      </c>
      <c r="C166" s="408" t="s">
        <v>613</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604</v>
      </c>
      <c r="C167" s="408" t="s">
        <v>614</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604</v>
      </c>
      <c r="C168" s="408" t="s">
        <v>615</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604</v>
      </c>
      <c r="C169" s="408" t="s">
        <v>616</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604</v>
      </c>
      <c r="C170" s="408" t="s">
        <v>617</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618</v>
      </c>
      <c r="C171" s="408" t="s">
        <v>619</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618</v>
      </c>
      <c r="C172" s="408" t="s">
        <v>620</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618</v>
      </c>
      <c r="C173" s="408" t="s">
        <v>620</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618</v>
      </c>
      <c r="C174" s="408" t="s">
        <v>620</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618</v>
      </c>
      <c r="C175" s="408" t="s">
        <v>621</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618</v>
      </c>
      <c r="C176" s="408" t="s">
        <v>621</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618</v>
      </c>
      <c r="C177" s="408" t="s">
        <v>621</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618</v>
      </c>
      <c r="C178" s="408" t="s">
        <v>621</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618</v>
      </c>
      <c r="C179" s="408" t="s">
        <v>622</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618</v>
      </c>
      <c r="C180" s="408" t="s">
        <v>622</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618</v>
      </c>
      <c r="C181" s="408" t="s">
        <v>622</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618</v>
      </c>
      <c r="C182" s="408" t="s">
        <v>623</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618</v>
      </c>
      <c r="C183" s="408" t="s">
        <v>623</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618</v>
      </c>
      <c r="C184" s="408" t="s">
        <v>623</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618</v>
      </c>
      <c r="C185" s="408" t="s">
        <v>624</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618</v>
      </c>
      <c r="C186" s="408" t="s">
        <v>625</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618</v>
      </c>
      <c r="C187" s="408" t="s">
        <v>626</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618</v>
      </c>
      <c r="C188" s="408" t="s">
        <v>626</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618</v>
      </c>
      <c r="C189" s="408" t="s">
        <v>626</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627</v>
      </c>
      <c r="C190" s="408" t="s">
        <v>628</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629</v>
      </c>
      <c r="C191" s="408" t="s">
        <v>630</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629</v>
      </c>
      <c r="C192" s="408" t="s">
        <v>631</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629</v>
      </c>
      <c r="C193" s="408" t="s">
        <v>632</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629</v>
      </c>
      <c r="C194" s="408" t="s">
        <v>632</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629</v>
      </c>
      <c r="C195" s="408" t="s">
        <v>632</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629</v>
      </c>
      <c r="C196" s="408" t="s">
        <v>632</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629</v>
      </c>
      <c r="C197" s="408" t="s">
        <v>633</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629</v>
      </c>
      <c r="C198" s="408" t="s">
        <v>634</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629</v>
      </c>
      <c r="C199" s="408" t="s">
        <v>635</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629</v>
      </c>
      <c r="C200" s="408" t="s">
        <v>636</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629</v>
      </c>
      <c r="C201" s="408" t="s">
        <v>636</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629</v>
      </c>
      <c r="C202" s="408" t="s">
        <v>637</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629</v>
      </c>
      <c r="C203" s="408" t="s">
        <v>638</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629</v>
      </c>
      <c r="C204" s="408" t="s">
        <v>639</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629</v>
      </c>
      <c r="C205" s="408" t="s">
        <v>640</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629</v>
      </c>
      <c r="C206" s="408" t="s">
        <v>641</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629</v>
      </c>
      <c r="C207" s="408" t="s">
        <v>642</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629</v>
      </c>
      <c r="C208" s="408" t="s">
        <v>643</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629</v>
      </c>
      <c r="C209" s="408" t="s">
        <v>644</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629</v>
      </c>
      <c r="C210" s="408" t="s">
        <v>644</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645</v>
      </c>
      <c r="C211" s="408" t="s">
        <v>646</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645</v>
      </c>
      <c r="C212" s="408" t="s">
        <v>646</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647</v>
      </c>
      <c r="C213" s="408" t="s">
        <v>648</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647</v>
      </c>
      <c r="C214" s="408" t="s">
        <v>648</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647</v>
      </c>
      <c r="C215" s="408" t="s">
        <v>648</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647</v>
      </c>
      <c r="C216" s="422" t="s">
        <v>649</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74</v>
      </c>
      <c r="C1" s="427" t="s">
        <v>74</v>
      </c>
      <c r="D1" s="396"/>
      <c r="E1" s="396"/>
      <c r="F1" s="396"/>
      <c r="G1" s="396"/>
      <c r="H1" s="396"/>
      <c r="I1" s="396"/>
      <c r="J1" s="396"/>
      <c r="K1" s="396"/>
      <c r="L1" s="428" t="s">
        <v>650</v>
      </c>
      <c r="M1" s="428" t="s">
        <v>651</v>
      </c>
      <c r="N1" s="428" t="s">
        <v>652</v>
      </c>
      <c r="O1" s="428" t="s">
        <v>653</v>
      </c>
      <c r="P1" s="428" t="s">
        <v>654</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655</v>
      </c>
      <c r="N2" s="396"/>
      <c r="O2" s="396"/>
      <c r="P2" s="428" t="s">
        <v>656</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657</v>
      </c>
      <c r="F4" s="429">
        <f>'Calcoli componente'!L26</f>
        <v>0.3323820715</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658</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42</v>
      </c>
      <c r="C8" s="427">
        <f>C7+'Caratteristiche componente'!$D10</f>
        <v>42</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44</v>
      </c>
      <c r="C9" s="427">
        <f>C8+'Caratteristiche componente'!$D11</f>
        <v>44</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44</v>
      </c>
      <c r="C10" s="427">
        <f>C9+'Caratteristiche componente'!$D12</f>
        <v>44</v>
      </c>
      <c r="D10" s="396"/>
      <c r="E10" s="396" t="s">
        <v>659</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44</v>
      </c>
      <c r="C11" s="427">
        <f>C10+'Caratteristiche componente'!$D13</f>
        <v>44</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44</v>
      </c>
      <c r="C12" s="427">
        <f>C11+'Caratteristiche componente'!$D14</f>
        <v>44</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44</v>
      </c>
      <c r="C13" s="427">
        <f>C12+'Caratteristiche componente'!$D15</f>
        <v>44</v>
      </c>
      <c r="D13" s="396"/>
      <c r="E13" s="396" t="s">
        <v>660</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44</v>
      </c>
      <c r="C14" s="427">
        <f>C13+'Caratteristiche componente'!$D16</f>
        <v>44</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
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localSheetId="9" name="OLE_LINK1">Materiali!$C$2</definedName>
    <definedName name="ngiorni">#REF!</definedName>
    <definedName name="tsat">#REF!</definedName>
    <definedName name="imese">#REF!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<sst xmlns="http://schemas.openxmlformats.org/spreadsheetml/2006/main" count="1625" uniqueCount="660">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</sst>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985437560"/>
        <c:axId val="752466735"/>
      </c:scatterChart>
      <c:valAx>
        <c:axId val="198543756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2466735"/>
      </c:valAx>
      <c:valAx>
        <c:axId val="75246673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5437560"/>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904940935"/>
        <c:axId val="1157894345"/>
      </c:scatterChart>
      <c:valAx>
        <c:axId val="190494093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7894345"/>
      </c:valAx>
      <c:valAx>
        <c:axId val="115789434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494093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471497646"/>
        <c:axId val="628149920"/>
      </c:scatterChart>
      <c:valAx>
        <c:axId val="147149764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8149920"/>
      </c:valAx>
      <c:valAx>
        <c:axId val="62814992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1497646"/>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219610611"/>
        <c:axId val="603828110"/>
      </c:scatterChart>
      <c:valAx>
        <c:axId val="121961061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3828110"/>
      </c:valAx>
      <c:valAx>
        <c:axId val="603828110"/>
        <c:scaling>
          <c:orientation val="minMax"/>
        </c:scaling>
        <c:delete val="0"/>
        <c:axPos val="l"/>
        <c:tickLblPos val="nextTo"/>
        <c:spPr>
          <a:ln>
            <a:noFill/>
          </a:ln>
        </c:spPr>
        <c:crossAx val="1219610611"/>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394422106"/>
        <c:axId val="1225199551"/>
      </c:scatterChart>
      <c:valAx>
        <c:axId val="139442210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5199551"/>
      </c:valAx>
      <c:valAx>
        <c:axId val="1225199551"/>
        <c:scaling>
          <c:orientation val="minMax"/>
        </c:scaling>
        <c:delete val="0"/>
        <c:axPos val="l"/>
        <c:tickLblPos val="nextTo"/>
        <c:spPr>
          <a:ln>
            <a:noFill/>
          </a:ln>
        </c:spPr>
        <c:crossAx val="1394422106"/>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141392005"/>
        <c:axId val="712771346"/>
      </c:scatterChart>
      <c:valAx>
        <c:axId val="11413920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2771346"/>
      </c:valAx>
      <c:valAx>
        <c:axId val="71277134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1392005"/>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v>2000.0</v>
      </c>
      <c r="F8" s="75">
        <v>5.3</v>
      </c>
      <c r="G8" s="76">
        <v>840.0</v>
      </c>
      <c r="H8" s="77">
        <v>1.16</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4.0</v>
      </c>
      <c r="E9" s="74"/>
      <c r="F9" s="75"/>
      <c r="G9" s="76"/>
      <c r="H9" s="77">
        <v>0.044</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1.216091456</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0.8223065746</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18</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264</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25208.87106</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10</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1.16</v>
      </c>
      <c r="H8" s="157">
        <f t="shared" si="1"/>
        <v>0.0000006904761905</v>
      </c>
      <c r="I8" s="158">
        <f t="shared" si="2"/>
        <v>200</v>
      </c>
      <c r="J8" s="159">
        <f>IF($C8&gt;0,IF(OR('Caratteristiche componente'!$C8="intercapedine",'Caratteristiche componente'!$C8="aria",'Caratteristiche componente'!$C8="intercapedine d'aria"),0.01,$C8/100*$E8),0)</f>
        <v>0.53</v>
      </c>
      <c r="K8" s="160">
        <f t="shared" si="3"/>
        <v>0.08620689655</v>
      </c>
      <c r="L8" s="160">
        <f t="shared" si="4"/>
        <v>11.6</v>
      </c>
      <c r="M8" s="161">
        <f t="shared" si="5"/>
        <v>168000</v>
      </c>
      <c r="N8" s="18"/>
      <c r="O8" s="162">
        <f>$M8*($K$22+$K$16+$K$15+$K$14+$K$13+$K$12+$K$11+$K$10+$K$9+$K8/2)</f>
        <v>170421.9854</v>
      </c>
      <c r="P8" s="161">
        <f>$M8*($K$21+$K$7+$K8/2)</f>
        <v>33881.37931</v>
      </c>
      <c r="Q8" s="18"/>
      <c r="R8" s="163">
        <f t="shared" si="6"/>
        <v>0.1378022436</v>
      </c>
      <c r="S8" s="164">
        <f t="shared" si="7"/>
        <v>0.7256775895</v>
      </c>
      <c r="T8" s="164">
        <f t="shared" si="8"/>
        <v>0.95381119</v>
      </c>
      <c r="U8" s="164">
        <f t="shared" si="9"/>
        <v>0.5249856901</v>
      </c>
      <c r="V8" s="164">
        <f t="shared" si="10"/>
        <v>0.5917576435</v>
      </c>
      <c r="W8" s="165">
        <f t="shared" si="11"/>
        <v>0.8461863253</v>
      </c>
      <c r="X8" s="163">
        <f t="shared" si="12"/>
        <v>0.95381119</v>
      </c>
      <c r="Y8" s="164">
        <f t="shared" si="13"/>
        <v>0.5249856901</v>
      </c>
      <c r="Z8" s="164">
        <f t="shared" si="14"/>
        <v>1.08874504</v>
      </c>
      <c r="AA8" s="166">
        <f t="shared" si="15"/>
        <v>28.82875574</v>
      </c>
      <c r="AB8" s="167">
        <f t="shared" si="16"/>
        <v>1.92191705</v>
      </c>
      <c r="AC8" s="163">
        <f t="shared" si="17"/>
        <v>-0.08541030394</v>
      </c>
      <c r="AD8" s="164">
        <f t="shared" si="18"/>
        <v>-0.01511243242</v>
      </c>
      <c r="AE8" s="164">
        <f t="shared" si="19"/>
        <v>0.08673699114</v>
      </c>
      <c r="AF8" s="166">
        <f t="shared" si="20"/>
        <v>-169.9659827</v>
      </c>
      <c r="AG8" s="167">
        <f t="shared" si="21"/>
        <v>-11.33106551</v>
      </c>
      <c r="AH8" s="163">
        <f t="shared" si="22"/>
        <v>2.141745034</v>
      </c>
      <c r="AI8" s="164">
        <f t="shared" si="23"/>
        <v>-12.10441107</v>
      </c>
      <c r="AJ8" s="164">
        <f t="shared" si="24"/>
        <v>12.29243016</v>
      </c>
      <c r="AK8" s="166">
        <f t="shared" si="25"/>
        <v>-79.96598268</v>
      </c>
      <c r="AL8" s="167">
        <f t="shared" si="26"/>
        <v>-5.331065512</v>
      </c>
      <c r="AM8" s="168">
        <f t="shared" si="27"/>
        <v>0.95381119</v>
      </c>
      <c r="AN8" s="164">
        <f t="shared" si="28"/>
        <v>0.5249856901</v>
      </c>
      <c r="AO8" s="164">
        <f t="shared" si="29"/>
        <v>1.08874504</v>
      </c>
      <c r="AP8" s="166">
        <f t="shared" si="30"/>
        <v>28.82875574</v>
      </c>
      <c r="AQ8" s="167">
        <f t="shared" si="31"/>
        <v>1.92191705</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4</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0.044</v>
      </c>
      <c r="H9" s="157" t="str">
        <f t="shared" si="1"/>
        <v>#DIV/0!</v>
      </c>
      <c r="I9" s="158">
        <f t="shared" si="2"/>
        <v>0</v>
      </c>
      <c r="J9" s="159">
        <f>IF($C9&gt;0,IF(OR('Caratteristiche componente'!$C9="intercapedine",'Caratteristiche componente'!$C9="aria",'Caratteristiche componente'!$C9="intercapedine d'aria"),0.01,$C9/100*$E9),0)</f>
        <v>0</v>
      </c>
      <c r="K9" s="160">
        <f t="shared" si="3"/>
        <v>0.9090909091</v>
      </c>
      <c r="L9" s="160">
        <f t="shared" si="4"/>
        <v>1.1</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36</v>
      </c>
      <c r="J10" s="159">
        <f>IF($C10&gt;0,IF(OR('Caratteristiche componente'!$C10="intercapedine",'Caratteristiche componente'!$C10="aria",'Caratteristiche componente'!$C10="intercapedine d'aria"),0.01,$C10/100*$E10),0)</f>
        <v>0.47</v>
      </c>
      <c r="K10" s="160">
        <f t="shared" si="3"/>
        <v>0.02222222222</v>
      </c>
      <c r="L10" s="160">
        <f t="shared" si="4"/>
        <v>45</v>
      </c>
      <c r="M10" s="161">
        <f t="shared" si="5"/>
        <v>30240</v>
      </c>
      <c r="N10" s="18"/>
      <c r="O10" s="162">
        <f>$M10*($K$22+$K$16+$K$15+$K$14+$K$13+$K$12+$K$11+$K10/2)</f>
        <v>1545.6</v>
      </c>
      <c r="P10" s="161">
        <f>$M10*($K$21+$K$7+$K$8+$K$9+$K10/2)</f>
        <v>35229.00564</v>
      </c>
      <c r="Q10" s="18"/>
      <c r="R10" s="163">
        <f t="shared" si="6"/>
        <v>0.1279461712</v>
      </c>
      <c r="S10" s="164">
        <f t="shared" si="7"/>
        <v>0.1563157367</v>
      </c>
      <c r="T10" s="164">
        <f t="shared" si="8"/>
        <v>0.9999004918</v>
      </c>
      <c r="U10" s="164">
        <f t="shared" si="9"/>
        <v>0.02443444743</v>
      </c>
      <c r="V10" s="164">
        <f t="shared" si="10"/>
        <v>0.155039458</v>
      </c>
      <c r="W10" s="165">
        <f t="shared" si="11"/>
        <v>0.1575857934</v>
      </c>
      <c r="X10" s="163">
        <f t="shared" si="12"/>
        <v>0.9999004918</v>
      </c>
      <c r="Y10" s="164">
        <f t="shared" si="13"/>
        <v>0.02443444743</v>
      </c>
      <c r="Z10" s="164">
        <f t="shared" si="14"/>
        <v>1.000198998</v>
      </c>
      <c r="AA10" s="166">
        <f t="shared" si="15"/>
        <v>1.399851436</v>
      </c>
      <c r="AB10" s="167">
        <f t="shared" si="16"/>
        <v>0.09332342905</v>
      </c>
      <c r="AC10" s="163">
        <f t="shared" si="17"/>
        <v>-0.02222177996</v>
      </c>
      <c r="AD10" s="164">
        <f t="shared" si="18"/>
        <v>-0.000180996593</v>
      </c>
      <c r="AE10" s="164">
        <f t="shared" si="19"/>
        <v>0.02222251706</v>
      </c>
      <c r="AF10" s="166">
        <f t="shared" si="20"/>
        <v>-179.5333357</v>
      </c>
      <c r="AG10" s="167">
        <f t="shared" si="21"/>
        <v>-11.96888905</v>
      </c>
      <c r="AH10" s="163">
        <f t="shared" si="22"/>
        <v>0.01791145336</v>
      </c>
      <c r="AI10" s="164">
        <f t="shared" si="23"/>
        <v>-2.199071091</v>
      </c>
      <c r="AJ10" s="164">
        <f t="shared" si="24"/>
        <v>2.199144035</v>
      </c>
      <c r="AK10" s="166">
        <f t="shared" si="25"/>
        <v>-89.53333569</v>
      </c>
      <c r="AL10" s="167">
        <f t="shared" si="26"/>
        <v>-5.968889046</v>
      </c>
      <c r="AM10" s="168">
        <f t="shared" si="27"/>
        <v>0.9999004918</v>
      </c>
      <c r="AN10" s="164">
        <f t="shared" si="28"/>
        <v>0.02443444743</v>
      </c>
      <c r="AO10" s="164">
        <f t="shared" si="29"/>
        <v>1.000198998</v>
      </c>
      <c r="AP10" s="166">
        <f t="shared" si="30"/>
        <v>1.399851436</v>
      </c>
      <c r="AQ10" s="167">
        <f t="shared" si="31"/>
        <v>0.09332342905</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18</v>
      </c>
      <c r="D17" s="188"/>
      <c r="E17" s="190"/>
      <c r="F17" s="190"/>
      <c r="G17" s="190"/>
      <c r="H17" s="191"/>
      <c r="I17" s="192">
        <f t="shared" ref="I17:K17" si="32">SUM(I$7:I$16)</f>
        <v>264</v>
      </c>
      <c r="J17" s="193">
        <f t="shared" si="32"/>
        <v>1.222</v>
      </c>
      <c r="K17" s="193">
        <f t="shared" si="32"/>
        <v>1.046091456</v>
      </c>
      <c r="L17" s="194">
        <f t="shared" si="4"/>
        <v>0.9559393625</v>
      </c>
      <c r="M17" s="195">
        <f>SUM(M$7:M$16)</f>
        <v>221760</v>
      </c>
      <c r="N17" s="18"/>
      <c r="O17" s="196">
        <f t="shared" ref="O17:P17" si="33">SUM(O$7:O$16)</f>
        <v>197176.4564</v>
      </c>
      <c r="P17" s="197">
        <f t="shared" si="33"/>
        <v>72503.98495</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1.216091456</v>
      </c>
      <c r="L26" s="216">
        <f>1/$K$26</f>
        <v>0.8223065746</v>
      </c>
      <c r="M26" s="18"/>
      <c r="N26" s="217">
        <f>M17*K26/3600</f>
        <v>74.91123372</v>
      </c>
      <c r="O26" s="218">
        <f>$O$17/3600</f>
        <v>54.7712379</v>
      </c>
      <c r="P26" s="219">
        <f>$P$17/3600</f>
        <v>20.13999582</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221.76</v>
      </c>
      <c r="O30" s="218">
        <f t="shared" ref="O30:P30" si="75">O$17/$K$26/1000</f>
        <v>162.1394965</v>
      </c>
      <c r="P30" s="219">
        <f t="shared" si="75"/>
        <v>59.62050351</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0.95381119</v>
      </c>
      <c r="M3" s="249">
        <f>'Calcoli componente'!$Y$8</f>
        <v>0.5249856901</v>
      </c>
      <c r="N3" s="249">
        <f>'Calcoli componente'!$AC$8</f>
        <v>-0.08541030394</v>
      </c>
      <c r="O3" s="250">
        <f>'Calcoli componente'!$AD$8</f>
        <v>-0.01511243242</v>
      </c>
      <c r="P3" s="248" t="str">
        <f>'Calcoli componente'!$X$9</f>
        <v>#DIV/0!</v>
      </c>
      <c r="Q3" s="249" t="str">
        <f>'Calcoli componente'!$Y$9</f>
        <v>#DIV/0!</v>
      </c>
      <c r="R3" s="249" t="str">
        <f>'Calcoli componente'!$AC$9</f>
        <v>#DIV/0!</v>
      </c>
      <c r="S3" s="250" t="str">
        <f>'Calcoli componente'!$AD$9</f>
        <v>#DIV/0!</v>
      </c>
      <c r="T3" s="248">
        <f>'Calcoli componente'!$X$10</f>
        <v>0.9999004918</v>
      </c>
      <c r="U3" s="249">
        <f>'Calcoli componente'!$Y$10</f>
        <v>0.02443444743</v>
      </c>
      <c r="V3" s="249">
        <f>'Calcoli componente'!$AC$10</f>
        <v>-0.02222177996</v>
      </c>
      <c r="W3" s="250">
        <f>'Calcoli componente'!$AD$10</f>
        <v>-0.000180996593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-0.5249856901</v>
      </c>
      <c r="M4" s="249">
        <f>'Calcoli componente'!$X$8</f>
        <v>0.95381119</v>
      </c>
      <c r="N4" s="249">
        <f>-'Calcoli componente'!$AD$8</f>
        <v>0.01511243242</v>
      </c>
      <c r="O4" s="250">
        <f>'Calcoli componente'!$AC$8</f>
        <v>-0.08541030394</v>
      </c>
      <c r="P4" s="248" t="str">
        <f>-'Calcoli componente'!$Y$9</f>
        <v>#DIV/0!</v>
      </c>
      <c r="Q4" s="249" t="str">
        <f>'Calcoli componente'!$X$9</f>
        <v>#DIV/0!</v>
      </c>
      <c r="R4" s="249" t="str">
        <f>-'Calcoli componente'!$AD$9</f>
        <v>#DIV/0!</v>
      </c>
      <c r="S4" s="250" t="str">
        <f>'Calcoli componente'!$AC$9</f>
        <v>#DIV/0!</v>
      </c>
      <c r="T4" s="248">
        <f>-'Calcoli componente'!$Y$10</f>
        <v>-0.02443444743</v>
      </c>
      <c r="U4" s="249">
        <f>'Calcoli componente'!$X$10</f>
        <v>0.9999004918</v>
      </c>
      <c r="V4" s="249">
        <f>-'Calcoli componente'!$AD$10</f>
        <v>0.000180996593</v>
      </c>
      <c r="W4" s="250">
        <f>'Calcoli componente'!$AC$10</f>
        <v>-0.02222177996</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2.141745034</v>
      </c>
      <c r="M5" s="249">
        <f>'Calcoli componente'!$AI$8</f>
        <v>-12.10441107</v>
      </c>
      <c r="N5" s="249">
        <f>'Calcoli componente'!$AM$8</f>
        <v>0.95381119</v>
      </c>
      <c r="O5" s="250">
        <f>'Calcoli componente'!$AN$8</f>
        <v>0.5249856901</v>
      </c>
      <c r="P5" s="248" t="str">
        <f>'Calcoli componente'!$AH$9</f>
        <v>#DIV/0!</v>
      </c>
      <c r="Q5" s="249" t="str">
        <f>'Calcoli componente'!$AI$9</f>
        <v>#DIV/0!</v>
      </c>
      <c r="R5" s="249" t="str">
        <f>'Calcoli componente'!$AM$9</f>
        <v>#DIV/0!</v>
      </c>
      <c r="S5" s="250" t="str">
        <f>'Calcoli componente'!$AN$9</f>
        <v>#DIV/0!</v>
      </c>
      <c r="T5" s="248">
        <f>'Calcoli componente'!$AH$10</f>
        <v>0.01791145336</v>
      </c>
      <c r="U5" s="249">
        <f>'Calcoli componente'!$AI$10</f>
        <v>-2.199071091</v>
      </c>
      <c r="V5" s="249">
        <f>'Calcoli componente'!$AM$10</f>
        <v>0.9999004918</v>
      </c>
      <c r="W5" s="250">
        <f>'Calcoli componente'!$AN$10</f>
        <v>0.02443444743</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12.10441107</v>
      </c>
      <c r="M6" s="254">
        <f>'Calcoli componente'!$AH$8</f>
        <v>2.141745034</v>
      </c>
      <c r="N6" s="254">
        <f>-'Calcoli componente'!$AN$8</f>
        <v>-0.5249856901</v>
      </c>
      <c r="O6" s="255">
        <f>'Calcoli componente'!$AM$8</f>
        <v>0.95381119</v>
      </c>
      <c r="P6" s="253" t="str">
        <f>-'Calcoli componente'!$AI$9</f>
        <v>#DIV/0!</v>
      </c>
      <c r="Q6" s="254" t="str">
        <f>'Calcoli componente'!$AH$9</f>
        <v>#DIV/0!</v>
      </c>
      <c r="R6" s="254" t="str">
        <f>-'Calcoli componente'!$AN$9</f>
        <v>#DIV/0!</v>
      </c>
      <c r="S6" s="255" t="str">
        <f>'Calcoli componente'!$AM$9</f>
        <v>#DIV/0!</v>
      </c>
      <c r="T6" s="253">
        <f>-'Calcoli componente'!$AI$10</f>
        <v>2.199071091</v>
      </c>
      <c r="U6" s="254">
        <f>'Calcoli componente'!$AH$10</f>
        <v>0.01791145336</v>
      </c>
      <c r="V6" s="254">
        <f>-'Calcoli componente'!$AN$10</f>
        <v>-0.02443444743</v>
      </c>
      <c r="W6" s="255">
        <f>'Calcoli componente'!$AM$10</f>
        <v>0.9999004918</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0.9138505481</v>
      </c>
      <c r="K9" s="249">
        <v>0.6941135783013588</v>
      </c>
      <c r="L9" s="249">
        <v>-0.11216157753846279</v>
      </c>
      <c r="M9" s="250">
        <v>-0.03241913612800296</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-0.6941135783013588</v>
      </c>
      <c r="K10" s="249">
        <v>0.913850548141326</v>
      </c>
      <c r="L10" s="249">
        <v>0.03241913612800296</v>
      </c>
      <c r="M10" s="250">
        <v>-0.1121615775384628</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3.348513730086137</v>
      </c>
      <c r="K11" s="249">
        <v>-13.674948395774894</v>
      </c>
      <c r="L11" s="249">
        <v>0.8768802289837575</v>
      </c>
      <c r="M11" s="250">
        <v>0.8935743274042633</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13.674948395774894</v>
      </c>
      <c r="K12" s="254">
        <v>3.348513730086137</v>
      </c>
      <c r="L12" s="254">
        <v>-0.8935743274042635</v>
      </c>
      <c r="M12" s="255">
        <v>0.8768802289837575</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0.9999004918</v>
      </c>
      <c r="W20" s="249">
        <v>0.024434447431474</v>
      </c>
      <c r="X20" s="249">
        <v>-0.022221779963206473</v>
      </c>
      <c r="Y20" s="250">
        <v>-1.8099659302224513E-4</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-0.024434447431474</v>
      </c>
      <c r="W21" s="249">
        <v>0.9999004917843256</v>
      </c>
      <c r="X21" s="249">
        <v>1.8099659302224513E-4</v>
      </c>
      <c r="Y21" s="250">
        <v>-0.022221779963206473</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0.017911453359349204</v>
      </c>
      <c r="W22" s="249">
        <v>-2.1990710914860965</v>
      </c>
      <c r="X22" s="249">
        <v>0.9999004917843256</v>
      </c>
      <c r="Y22" s="250">
        <v>0.024434447431474</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2.1990710914860965</v>
      </c>
      <c r="W23" s="254">
        <v>0.017911453359349204</v>
      </c>
      <c r="X23" s="254">
        <v>-0.024434447431474</v>
      </c>
      <c r="Y23" s="255">
        <v>0.9999004917843256</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16.33258638</v>
      </c>
      <c r="L7" s="309" t="str">
        <f t="shared" si="1"/>
        <v>#NAME?</v>
      </c>
      <c r="M7" s="309">
        <f>M6</f>
        <v>1389.18</v>
      </c>
      <c r="N7" s="309">
        <v>0.0</v>
      </c>
      <c r="O7" s="309" t="str">
        <f>IF(AND(N7&gt;0,N7=MAX(N$7:N$17)),1,0)</f>
        <v>#NAME?</v>
      </c>
      <c r="P7" s="309">
        <f>M7</f>
        <v>1389.18</v>
      </c>
      <c r="Q7" s="250" t="str">
        <f>0.0000000002*(P7-P8)/($J8-$J7)</f>
        <v>#NAME?</v>
      </c>
      <c r="R7" s="352">
        <f>R6-(R$6-R$18)*0.25/$G$19</f>
        <v>16.85650261</v>
      </c>
      <c r="S7" s="309" t="str">
        <f t="shared" si="2"/>
        <v>#NAME?</v>
      </c>
      <c r="T7" s="309">
        <f>T6</f>
        <v>1354.44</v>
      </c>
      <c r="U7" s="309">
        <v>0.0</v>
      </c>
      <c r="V7" s="309" t="str">
        <f>IF(AND(U7&gt;0,U7=MAX(U$7:U$17)),1,0)</f>
        <v>#NAME?</v>
      </c>
      <c r="W7" s="309">
        <f>T7</f>
        <v>1354.44</v>
      </c>
      <c r="X7" s="250" t="str">
        <f>0.0000000002*(W7-W8)/($J8-$J7)</f>
        <v>#NAME?</v>
      </c>
      <c r="Y7" s="352">
        <f>Y6-(Y$6-Y$18)*0.25/$G$19</f>
        <v>17.79206731</v>
      </c>
      <c r="Z7" s="309" t="str">
        <f t="shared" si="3"/>
        <v>#NAME?</v>
      </c>
      <c r="AA7" s="309">
        <f>AA6</f>
        <v>1108.69</v>
      </c>
      <c r="AB7" s="309">
        <v>0.0</v>
      </c>
      <c r="AC7" s="309" t="str">
        <f>IF(AND(AB7&gt;0,AB7=MAX(AB$7:AB$17)),1,0)</f>
        <v>#NAME?</v>
      </c>
      <c r="AD7" s="309">
        <f>AA7</f>
        <v>1108.69</v>
      </c>
      <c r="AE7" s="250" t="str">
        <f>0.0000000002*(AD7-AD8)/($J8-$J7)</f>
        <v>#NAME?</v>
      </c>
      <c r="AF7" s="352">
        <f>AF6-(AF$6-AF$18)*0.25/$G$19</f>
        <v>18.63407554</v>
      </c>
      <c r="AG7" s="309" t="str">
        <f t="shared" si="4"/>
        <v>#NAME?</v>
      </c>
      <c r="AH7" s="309">
        <f>AH6</f>
        <v>1129.215</v>
      </c>
      <c r="AI7" s="309">
        <v>0.0</v>
      </c>
      <c r="AJ7" s="309" t="str">
        <f>IF(AND(AI7&gt;0,AI7=MAX(AI$7:AI$17)),1,0)</f>
        <v>#NAME?</v>
      </c>
      <c r="AK7" s="309">
        <f>AH7</f>
        <v>1129.215</v>
      </c>
      <c r="AL7" s="250" t="str">
        <f>0.0000000002*(AK7-AK8)/($J8-$J7)</f>
        <v>#NAME?</v>
      </c>
      <c r="AM7" s="352">
        <f>AM6-(AM$6-AM$18)*0.25/$G$19</f>
        <v>19.3825273</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19.77546447</v>
      </c>
      <c r="BP7" s="309" t="str">
        <f t="shared" si="9"/>
        <v>#NAME?</v>
      </c>
      <c r="BQ7" s="309">
        <f>BQ6</f>
        <v>1557.46</v>
      </c>
      <c r="BR7" s="309">
        <v>0.0</v>
      </c>
      <c r="BS7" s="309" t="str">
        <f>IF(AND(BR7&gt;0,BR7=MAX(BR$7:BR$17)),1,0)</f>
        <v>#NAME?</v>
      </c>
      <c r="BT7" s="309">
        <f>BQ7</f>
        <v>1557.46</v>
      </c>
      <c r="BU7" s="250" t="str">
        <f>0.0000000002*(BT7-BT8)/($J8-$J7)</f>
        <v>#NAME?</v>
      </c>
      <c r="BV7" s="352">
        <f>BV6-(BV$6-BV$18)*0.25/$G$19</f>
        <v>18.61536425</v>
      </c>
      <c r="BW7" s="309" t="str">
        <f t="shared" si="10"/>
        <v>#NAME?</v>
      </c>
      <c r="BX7" s="309">
        <f>BX6</f>
        <v>1509.67</v>
      </c>
      <c r="BY7" s="309">
        <v>0.0</v>
      </c>
      <c r="BZ7" s="309" t="str">
        <f>IF(AND(BY7&gt;0,BY7=MAX(BY$7:BY$17)),1,0)</f>
        <v>#NAME?</v>
      </c>
      <c r="CA7" s="309">
        <f>BX7</f>
        <v>1509.67</v>
      </c>
      <c r="CB7" s="250" t="str">
        <f>0.0000000002*(CA7-CA8)/($J8-$J7)</f>
        <v>#NAME?</v>
      </c>
      <c r="CC7" s="352">
        <f>CC6-(CC$6-CC$18)*0.25/$G$19</f>
        <v>17.5301092</v>
      </c>
      <c r="CD7" s="309" t="str">
        <f t="shared" si="11"/>
        <v>#NAME?</v>
      </c>
      <c r="CE7" s="309">
        <f>CE6</f>
        <v>1429.06</v>
      </c>
      <c r="CF7" s="309">
        <v>0.0</v>
      </c>
      <c r="CG7" s="309" t="str">
        <f>IF(AND(CF7&gt;0,CF7=MAX(CF$7:CF$17)),1,0)</f>
        <v>#NAME?</v>
      </c>
      <c r="CH7" s="309">
        <f>CE7</f>
        <v>1429.06</v>
      </c>
      <c r="CI7" s="250" t="str">
        <f>0.0000000002*(CH7-CH8)/($J8-$J7)</f>
        <v>#NAME?</v>
      </c>
      <c r="CJ7" s="352">
        <f>CJ6-(CJ$6-CJ$18)*0.25/$G$19</f>
        <v>16.63196709</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10</v>
      </c>
      <c r="D8" s="308">
        <f>'Calcoli componente'!E8</f>
        <v>5.3</v>
      </c>
      <c r="E8" s="355">
        <f>'Calcoli componente'!G8</f>
        <v>1.16</v>
      </c>
      <c r="F8" s="356">
        <f>'Calcoli componente'!J8</f>
        <v>0.53</v>
      </c>
      <c r="G8" s="357">
        <f>'Calcoli componente'!K8</f>
        <v>0.08620689655</v>
      </c>
      <c r="H8" s="282"/>
      <c r="I8" s="328" t="s">
        <v>368</v>
      </c>
      <c r="J8" s="351">
        <f t="shared" ref="J8:J17" si="13">J7+F7</f>
        <v>0.222</v>
      </c>
      <c r="K8" s="352">
        <f t="shared" ref="K8:K17" si="14">K7-(K$6-K$18)*$G7/$G$19</f>
        <v>15.9134534</v>
      </c>
      <c r="L8" s="309" t="str">
        <f t="shared" si="1"/>
        <v>#NAME?</v>
      </c>
      <c r="M8" s="309">
        <f t="shared" ref="M8:M16" si="15">M$7-(M$7-M$17)*$J8/$F$17</f>
        <v>1230.549918</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16.49724577</v>
      </c>
      <c r="S8" s="309" t="str">
        <f t="shared" si="2"/>
        <v>#NAME?</v>
      </c>
      <c r="T8" s="309">
        <f t="shared" ref="T8:T16" si="20">T$7-(T$7-T$17)*$J8/$F$17</f>
        <v>1218.471358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17.53973215</v>
      </c>
      <c r="Z8" s="309" t="str">
        <f t="shared" si="3"/>
        <v>#NAME?</v>
      </c>
      <c r="AA8" s="309">
        <f t="shared" ref="AA8:AA16" si="25">AA$7-(AA$7-AA$17)*$J8/$F$17</f>
        <v>1013.188216</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18.47796989</v>
      </c>
      <c r="AG8" s="309" t="str">
        <f t="shared" si="4"/>
        <v>#NAME?</v>
      </c>
      <c r="AH8" s="309">
        <f t="shared" ref="AH8:AH16" si="30">AH$7-(AH$7-AH$17)*$J8/$F$17</f>
        <v>1070.133388</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19.31195899</v>
      </c>
      <c r="AN8" s="309" t="str">
        <f t="shared" si="5"/>
        <v>#NAME?</v>
      </c>
      <c r="AO8" s="309">
        <f t="shared" ref="AO8:AO16" si="35">AO$7-(AO$7-AO$17)*$J8/$F$17</f>
        <v>1355.306874</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19.74980327</v>
      </c>
      <c r="BP8" s="309" t="str">
        <f t="shared" si="9"/>
        <v>#NAME?</v>
      </c>
      <c r="BQ8" s="309">
        <f t="shared" ref="BQ8:BQ16" si="55">BQ$7-(BQ$7-BQ$17)*$J8/$F$17</f>
        <v>1547.747954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18.45712016</v>
      </c>
      <c r="BW8" s="309" t="str">
        <f t="shared" si="10"/>
        <v>#NAME?</v>
      </c>
      <c r="BX8" s="309">
        <f t="shared" ref="BX8:BX16" si="60">BX$7-(BX$7-BX$17)*$J8/$F$17</f>
        <v>1449.779051</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17.24783596</v>
      </c>
      <c r="CD8" s="309" t="str">
        <f t="shared" si="11"/>
        <v>#NAME?</v>
      </c>
      <c r="CE8" s="309">
        <f t="shared" ref="CE8:CE16" si="65">CE$7-(CE$7-CE$17)*$J8/$F$17</f>
        <v>1322.227496</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16.24704904</v>
      </c>
      <c r="CK8" s="309" t="str">
        <f t="shared" si="12"/>
        <v>#NAME?</v>
      </c>
      <c r="CL8" s="309">
        <f t="shared" ref="CL8:CL16" si="70">CL$7-(CL$7-CL$17)*$J8/$F$17</f>
        <v>1262.219313</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4</v>
      </c>
      <c r="D9" s="308" t="str">
        <f>'Calcoli componente'!E9</f>
        <v/>
      </c>
      <c r="E9" s="355">
        <f>'Calcoli componente'!G9</f>
        <v>0.044</v>
      </c>
      <c r="F9" s="356">
        <f>'Calcoli componente'!J9</f>
        <v>0</v>
      </c>
      <c r="G9" s="357">
        <f>'Calcoli componente'!K9</f>
        <v>0.9090909091</v>
      </c>
      <c r="H9" s="282"/>
      <c r="I9" s="328" t="s">
        <v>369</v>
      </c>
      <c r="J9" s="351">
        <f t="shared" si="13"/>
        <v>0.752</v>
      </c>
      <c r="K9" s="352">
        <f t="shared" si="14"/>
        <v>14.64882801</v>
      </c>
      <c r="L9" s="309" t="str">
        <f t="shared" si="1"/>
        <v>#NAME?</v>
      </c>
      <c r="M9" s="309">
        <f t="shared" si="15"/>
        <v>851.8384615</v>
      </c>
      <c r="N9" s="309" t="str">
        <f t="shared" si="16"/>
        <v>#NAME?</v>
      </c>
      <c r="O9" s="309" t="str">
        <f>IF(AND(N9&gt;0,N9=MAX(N$7:N$17)),3,0)</f>
        <v>#NAME?</v>
      </c>
      <c r="P9" s="309" t="str">
        <f t="shared" si="17"/>
        <v>#NAME?</v>
      </c>
      <c r="Q9" s="250" t="str">
        <f t="shared" si="18"/>
        <v>#NAME?</v>
      </c>
      <c r="R9" s="352">
        <f t="shared" si="19"/>
        <v>15.41328115</v>
      </c>
      <c r="S9" s="309" t="str">
        <f t="shared" si="2"/>
        <v>#NAME?</v>
      </c>
      <c r="T9" s="309">
        <f t="shared" si="20"/>
        <v>893.8615385</v>
      </c>
      <c r="U9" s="309" t="str">
        <f t="shared" si="21"/>
        <v>#NAME?</v>
      </c>
      <c r="V9" s="309" t="str">
        <f>IF(AND(U9&gt;0,U9=MAX(U$7:U$17)),3,0)</f>
        <v>#NAME?</v>
      </c>
      <c r="W9" s="309" t="str">
        <f t="shared" si="22"/>
        <v>#NAME?</v>
      </c>
      <c r="X9" s="250" t="str">
        <f t="shared" si="23"/>
        <v>#NAME?</v>
      </c>
      <c r="Y9" s="352">
        <f t="shared" si="24"/>
        <v>16.77837605</v>
      </c>
      <c r="Z9" s="309" t="str">
        <f t="shared" si="3"/>
        <v>#NAME?</v>
      </c>
      <c r="AA9" s="309">
        <f t="shared" si="25"/>
        <v>785.1884615</v>
      </c>
      <c r="AB9" s="309" t="str">
        <f t="shared" si="26"/>
        <v>#NAME?</v>
      </c>
      <c r="AC9" s="309" t="str">
        <f>IF(AND(AB9&gt;0,AB9=MAX(AB$7:AB$17)),3,0)</f>
        <v>#NAME?</v>
      </c>
      <c r="AD9" s="309" t="str">
        <f t="shared" si="27"/>
        <v>#NAME?</v>
      </c>
      <c r="AE9" s="250" t="str">
        <f t="shared" si="28"/>
        <v>#NAME?</v>
      </c>
      <c r="AF9" s="352">
        <f t="shared" si="29"/>
        <v>18.00696145</v>
      </c>
      <c r="AG9" s="309" t="str">
        <f t="shared" si="4"/>
        <v>#NAME?</v>
      </c>
      <c r="AH9" s="309">
        <f t="shared" si="30"/>
        <v>929.0826923</v>
      </c>
      <c r="AI9" s="309" t="str">
        <f t="shared" si="31"/>
        <v>#NAME?</v>
      </c>
      <c r="AJ9" s="309" t="str">
        <f>IF(AND(AI9&gt;0,AI9=MAX(AI$7:AI$17)),3,0)</f>
        <v>#NAME?</v>
      </c>
      <c r="AK9" s="309" t="str">
        <f t="shared" si="32"/>
        <v>#NAME?</v>
      </c>
      <c r="AL9" s="250" t="str">
        <f t="shared" si="33"/>
        <v>#NAME?</v>
      </c>
      <c r="AM9" s="352">
        <f t="shared" si="34"/>
        <v>19.09903737</v>
      </c>
      <c r="AN9" s="309" t="str">
        <f t="shared" si="5"/>
        <v>#NAME?</v>
      </c>
      <c r="AO9" s="309">
        <f t="shared" si="35"/>
        <v>1291.544231</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19.67237723</v>
      </c>
      <c r="BP9" s="309" t="str">
        <f t="shared" si="9"/>
        <v>#NAME?</v>
      </c>
      <c r="BQ9" s="309">
        <f t="shared" si="55"/>
        <v>1524.561538</v>
      </c>
      <c r="BR9" s="309" t="str">
        <f t="shared" si="56"/>
        <v>#NAME?</v>
      </c>
      <c r="BS9" s="309" t="str">
        <f>IF(AND(BR9&gt;0,BR9=MAX(BR$7:BR$17)),3,0)</f>
        <v>#NAME?</v>
      </c>
      <c r="BT9" s="309" t="str">
        <f t="shared" si="57"/>
        <v>#NAME?</v>
      </c>
      <c r="BU9" s="250" t="str">
        <f t="shared" si="58"/>
        <v>#NAME?</v>
      </c>
      <c r="BV9" s="352">
        <f t="shared" si="59"/>
        <v>17.97965956</v>
      </c>
      <c r="BW9" s="309" t="str">
        <f t="shared" si="10"/>
        <v>#NAME?</v>
      </c>
      <c r="BX9" s="309">
        <f t="shared" si="60"/>
        <v>1306.796154</v>
      </c>
      <c r="BY9" s="309" t="str">
        <f t="shared" si="61"/>
        <v>#NAME?</v>
      </c>
      <c r="BZ9" s="309" t="str">
        <f>IF(AND(BY9&gt;0,BY9=MAX(BY$7:BY$17)),3,0)</f>
        <v>#NAME?</v>
      </c>
      <c r="CA9" s="309" t="str">
        <f t="shared" si="62"/>
        <v>#NAME?</v>
      </c>
      <c r="CB9" s="250" t="str">
        <f t="shared" si="63"/>
        <v>#NAME?</v>
      </c>
      <c r="CC9" s="352">
        <f t="shared" si="64"/>
        <v>16.39614948</v>
      </c>
      <c r="CD9" s="309" t="str">
        <f t="shared" si="11"/>
        <v>#NAME?</v>
      </c>
      <c r="CE9" s="309">
        <f t="shared" si="65"/>
        <v>1067.176923</v>
      </c>
      <c r="CF9" s="309" t="str">
        <f t="shared" si="66"/>
        <v>#NAME?</v>
      </c>
      <c r="CG9" s="309" t="str">
        <f>IF(AND(CF9&gt;0,CF9=MAX(CF$7:CF$17)),3,0)</f>
        <v>#NAME?</v>
      </c>
      <c r="CH9" s="309" t="str">
        <f t="shared" si="67"/>
        <v>#NAME?</v>
      </c>
      <c r="CI9" s="250" t="str">
        <f t="shared" si="68"/>
        <v>#NAME?</v>
      </c>
      <c r="CJ9" s="352">
        <f t="shared" si="69"/>
        <v>15.08565838</v>
      </c>
      <c r="CK9" s="309" t="str">
        <f t="shared" si="12"/>
        <v>#NAME?</v>
      </c>
      <c r="CL9" s="309">
        <f t="shared" si="70"/>
        <v>914.4230769</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f>'Calcoli componente'!E10</f>
        <v>23.5</v>
      </c>
      <c r="E10" s="355">
        <f>'Calcoli componente'!G10</f>
        <v>0.9</v>
      </c>
      <c r="F10" s="356">
        <f>'Calcoli componente'!J10</f>
        <v>0.47</v>
      </c>
      <c r="G10" s="357">
        <f>'Calcoli componente'!K10</f>
        <v>0.02222222222</v>
      </c>
      <c r="H10" s="282"/>
      <c r="I10" s="328" t="s">
        <v>370</v>
      </c>
      <c r="J10" s="351">
        <f t="shared" si="13"/>
        <v>0.752</v>
      </c>
      <c r="K10" s="352">
        <f t="shared" si="14"/>
        <v>1.3127785</v>
      </c>
      <c r="L10" s="309" t="str">
        <f t="shared" si="1"/>
        <v>#NAME?</v>
      </c>
      <c r="M10" s="309">
        <f t="shared" si="15"/>
        <v>851.8384615</v>
      </c>
      <c r="N10" s="309" t="str">
        <f t="shared" si="16"/>
        <v>#NAME?</v>
      </c>
      <c r="O10" s="309" t="str">
        <f>IF(AND(N10&gt;0,N10=MAX(N$7:N$17)),4,0)</f>
        <v>#NAME?</v>
      </c>
      <c r="P10" s="309" t="str">
        <f t="shared" si="17"/>
        <v>#NAME?</v>
      </c>
      <c r="Q10" s="250" t="str">
        <f t="shared" si="18"/>
        <v>#NAME?</v>
      </c>
      <c r="R10" s="352">
        <f t="shared" si="19"/>
        <v>3.982381571</v>
      </c>
      <c r="S10" s="309" t="str">
        <f t="shared" si="2"/>
        <v>#NAME?</v>
      </c>
      <c r="T10" s="309">
        <f t="shared" si="20"/>
        <v>893.8615385</v>
      </c>
      <c r="U10" s="309" t="str">
        <f t="shared" si="21"/>
        <v>#NAME?</v>
      </c>
      <c r="V10" s="309" t="str">
        <f>IF(AND(U10&gt;0,U10=MAX(U$7:U$17)),4,0)</f>
        <v>#NAME?</v>
      </c>
      <c r="W10" s="309" t="str">
        <f t="shared" si="22"/>
        <v>#NAME?</v>
      </c>
      <c r="X10" s="250" t="str">
        <f t="shared" si="23"/>
        <v>#NAME?</v>
      </c>
      <c r="Y10" s="352">
        <f t="shared" si="24"/>
        <v>8.749529913</v>
      </c>
      <c r="Z10" s="309" t="str">
        <f t="shared" si="3"/>
        <v>#NAME?</v>
      </c>
      <c r="AA10" s="309">
        <f t="shared" si="25"/>
        <v>785.1884615</v>
      </c>
      <c r="AB10" s="309" t="str">
        <f t="shared" si="26"/>
        <v>#NAME?</v>
      </c>
      <c r="AC10" s="309" t="str">
        <f>IF(AND(AB10&gt;0,AB10=MAX(AB$7:AB$17)),4,0)</f>
        <v>#NAME?</v>
      </c>
      <c r="AD10" s="309" t="str">
        <f t="shared" si="27"/>
        <v>#NAME?</v>
      </c>
      <c r="AE10" s="250" t="str">
        <f t="shared" si="28"/>
        <v>#NAME?</v>
      </c>
      <c r="AF10" s="352">
        <f t="shared" si="29"/>
        <v>13.03996342</v>
      </c>
      <c r="AG10" s="309" t="str">
        <f t="shared" si="4"/>
        <v>#NAME?</v>
      </c>
      <c r="AH10" s="309">
        <f t="shared" si="30"/>
        <v>929.0826923</v>
      </c>
      <c r="AI10" s="309" t="str">
        <f t="shared" si="31"/>
        <v>#NAME?</v>
      </c>
      <c r="AJ10" s="309" t="str">
        <f>IF(AND(AI10&gt;0,AI10=MAX(AI$7:AI$17)),4,0)</f>
        <v>#NAME?</v>
      </c>
      <c r="AK10" s="309" t="str">
        <f t="shared" si="32"/>
        <v>#NAME?</v>
      </c>
      <c r="AL10" s="250" t="str">
        <f t="shared" si="33"/>
        <v>#NAME?</v>
      </c>
      <c r="AM10" s="352">
        <f t="shared" si="34"/>
        <v>16.85368209</v>
      </c>
      <c r="AN10" s="309" t="str">
        <f t="shared" si="5"/>
        <v>#NAME?</v>
      </c>
      <c r="AO10" s="309">
        <f t="shared" si="35"/>
        <v>1291.544231</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18.8558844</v>
      </c>
      <c r="BP10" s="309" t="str">
        <f t="shared" si="9"/>
        <v>#NAME?</v>
      </c>
      <c r="BQ10" s="309">
        <f t="shared" si="55"/>
        <v>1524.561538</v>
      </c>
      <c r="BR10" s="309" t="str">
        <f t="shared" si="56"/>
        <v>#NAME?</v>
      </c>
      <c r="BS10" s="309" t="str">
        <f>IF(AND(BR10&gt;0,BR10=MAX(BR$7:BR$17)),4,0)</f>
        <v>#NAME?</v>
      </c>
      <c r="BT10" s="309" t="str">
        <f t="shared" si="57"/>
        <v>#NAME?</v>
      </c>
      <c r="BU10" s="250" t="str">
        <f t="shared" si="58"/>
        <v>#NAME?</v>
      </c>
      <c r="BV10" s="352">
        <f t="shared" si="59"/>
        <v>12.94462045</v>
      </c>
      <c r="BW10" s="309" t="str">
        <f t="shared" si="10"/>
        <v>#NAME?</v>
      </c>
      <c r="BX10" s="309">
        <f t="shared" si="60"/>
        <v>1306.796154</v>
      </c>
      <c r="BY10" s="309" t="str">
        <f t="shared" si="61"/>
        <v>#NAME?</v>
      </c>
      <c r="BZ10" s="309" t="str">
        <f>IF(AND(BY10&gt;0,BY10=MAX(BY$7:BY$17)),4,0)</f>
        <v>#NAME?</v>
      </c>
      <c r="CA10" s="309" t="str">
        <f t="shared" si="62"/>
        <v>#NAME?</v>
      </c>
      <c r="CB10" s="250" t="str">
        <f t="shared" si="63"/>
        <v>#NAME?</v>
      </c>
      <c r="CC10" s="352">
        <f t="shared" si="64"/>
        <v>7.414728378</v>
      </c>
      <c r="CD10" s="309" t="str">
        <f t="shared" si="11"/>
        <v>#NAME?</v>
      </c>
      <c r="CE10" s="309">
        <f t="shared" si="65"/>
        <v>1067.176923</v>
      </c>
      <c r="CF10" s="309" t="str">
        <f t="shared" si="66"/>
        <v>#NAME?</v>
      </c>
      <c r="CG10" s="309" t="str">
        <f>IF(AND(CF10&gt;0,CF10=MAX(CF$7:CF$17)),4,0)</f>
        <v>#NAME?</v>
      </c>
      <c r="CH10" s="309" t="str">
        <f t="shared" si="67"/>
        <v>#NAME?</v>
      </c>
      <c r="CI10" s="250" t="str">
        <f t="shared" si="68"/>
        <v>#NAME?</v>
      </c>
      <c r="CJ10" s="352">
        <f t="shared" si="69"/>
        <v>2.838265969</v>
      </c>
      <c r="CK10" s="309" t="str">
        <f t="shared" si="12"/>
        <v>#NAME?</v>
      </c>
      <c r="CL10" s="309">
        <f t="shared" si="70"/>
        <v>914.4230769</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1.222</v>
      </c>
      <c r="K11" s="352">
        <f t="shared" si="14"/>
        <v>0.9867861786</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3.702959582</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8.55326923</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12.91854791</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16.79879563</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18.83592568</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12.82154172</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7.195182528</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2.538885266</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1.222</v>
      </c>
      <c r="K12" s="352">
        <f t="shared" si="14"/>
        <v>0.9867861786</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3.702959582</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8.55326923</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12.91854791</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16.79879563</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18.83592568</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12.82154172</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7.195182528</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2.538885266</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1.222</v>
      </c>
      <c r="K13" s="352">
        <f t="shared" si="14"/>
        <v>0.9867861786</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3.702959582</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8.55326923</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12.91854791</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16.79879563</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18.83592568</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12.82154172</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7.195182528</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2.538885266</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1.222</v>
      </c>
      <c r="K14" s="352">
        <f t="shared" si="14"/>
        <v>0.9867861786</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3.702959582</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8.55326923</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12.91854791</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16.79879563</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18.83592568</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12.82154172</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7.195182528</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2.538885266</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1.222</v>
      </c>
      <c r="K15" s="352">
        <f t="shared" si="14"/>
        <v>0.9867861786</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3.702959582</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8.55326923</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12.91854791</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16.79879563</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18.83592568</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12.82154172</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7.195182528</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2.538885266</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1.222</v>
      </c>
      <c r="K16" s="352">
        <f t="shared" si="14"/>
        <v>0.9867861786</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3.702959582</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8.55326923</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12.91854791</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16.79879563</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18.83592568</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12.82154172</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7.195182528</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2.538885266</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18</v>
      </c>
      <c r="D17" s="363"/>
      <c r="E17" s="365"/>
      <c r="F17" s="366">
        <f t="shared" ref="F17:G17" si="74">SUM(F$7:F$16)</f>
        <v>1.222</v>
      </c>
      <c r="G17" s="367">
        <f t="shared" si="74"/>
        <v>1.046091456</v>
      </c>
      <c r="H17" s="282"/>
      <c r="I17" s="328" t="s">
        <v>377</v>
      </c>
      <c r="J17" s="351">
        <f t="shared" si="13"/>
        <v>1.222</v>
      </c>
      <c r="K17" s="352">
        <f t="shared" si="14"/>
        <v>0.9867861786</v>
      </c>
      <c r="L17" s="309" t="str">
        <f t="shared" si="1"/>
        <v>#NAME?</v>
      </c>
      <c r="M17" s="309">
        <f>M18</f>
        <v>516</v>
      </c>
      <c r="N17" s="309" t="str">
        <f t="shared" si="16"/>
        <v>#NAME?</v>
      </c>
      <c r="O17" s="309" t="str">
        <f>IF(AND(N17&gt;0,N17=MAX(N$7:N$17)),11,0)</f>
        <v>#NAME?</v>
      </c>
      <c r="P17" s="309">
        <f>M17</f>
        <v>516</v>
      </c>
      <c r="Q17" s="368"/>
      <c r="R17" s="352">
        <f t="shared" si="19"/>
        <v>3.702959582</v>
      </c>
      <c r="S17" s="309" t="str">
        <f t="shared" si="2"/>
        <v>#NAME?</v>
      </c>
      <c r="T17" s="309">
        <f>T18</f>
        <v>606</v>
      </c>
      <c r="U17" s="309" t="str">
        <f t="shared" si="21"/>
        <v>#NAME?</v>
      </c>
      <c r="V17" s="309" t="str">
        <f>IF(AND(U17&gt;0,U17=MAX(U$7:U$17)),11,0)</f>
        <v>#NAME?</v>
      </c>
      <c r="W17" s="309">
        <f>T17</f>
        <v>606</v>
      </c>
      <c r="X17" s="368"/>
      <c r="Y17" s="352">
        <f t="shared" si="24"/>
        <v>8.55326923</v>
      </c>
      <c r="Z17" s="309" t="str">
        <f t="shared" si="3"/>
        <v>#NAME?</v>
      </c>
      <c r="AA17" s="309">
        <f>AA18</f>
        <v>583</v>
      </c>
      <c r="AB17" s="309" t="str">
        <f t="shared" si="26"/>
        <v>#NAME?</v>
      </c>
      <c r="AC17" s="309" t="str">
        <f>IF(AND(AB17&gt;0,AB17=MAX(AB$7:AB$17)),11,0)</f>
        <v>#NAME?</v>
      </c>
      <c r="AD17" s="309">
        <f>AA17</f>
        <v>583</v>
      </c>
      <c r="AE17" s="368"/>
      <c r="AF17" s="352">
        <f t="shared" si="29"/>
        <v>12.91854791</v>
      </c>
      <c r="AG17" s="309" t="str">
        <f t="shared" si="4"/>
        <v>#NAME?</v>
      </c>
      <c r="AH17" s="309">
        <f>AH18</f>
        <v>804</v>
      </c>
      <c r="AI17" s="309" t="str">
        <f t="shared" si="31"/>
        <v>#NAME?</v>
      </c>
      <c r="AJ17" s="309" t="str">
        <f>IF(AND(AI17&gt;0,AI17=MAX(AI$7:AI$17)),11,0)</f>
        <v>#NAME?</v>
      </c>
      <c r="AK17" s="309">
        <f>AH17</f>
        <v>804</v>
      </c>
      <c r="AL17" s="368"/>
      <c r="AM17" s="352">
        <f t="shared" si="34"/>
        <v>16.79879563</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18.83592568</v>
      </c>
      <c r="BP17" s="309" t="str">
        <f t="shared" si="9"/>
        <v>#NAME?</v>
      </c>
      <c r="BQ17" s="309">
        <f>BQ18</f>
        <v>1504</v>
      </c>
      <c r="BR17" s="309" t="str">
        <f t="shared" si="56"/>
        <v>#NAME?</v>
      </c>
      <c r="BS17" s="309" t="str">
        <f>IF(AND(BR17&gt;0,BR17=MAX(BR$7:BR$17)),11,0)</f>
        <v>#NAME?</v>
      </c>
      <c r="BT17" s="309">
        <f>BQ17</f>
        <v>1504</v>
      </c>
      <c r="BU17" s="368"/>
      <c r="BV17" s="352">
        <f t="shared" si="59"/>
        <v>12.82154172</v>
      </c>
      <c r="BW17" s="309" t="str">
        <f t="shared" si="10"/>
        <v>#NAME?</v>
      </c>
      <c r="BX17" s="309">
        <f>BX18</f>
        <v>1180</v>
      </c>
      <c r="BY17" s="309" t="str">
        <f t="shared" si="61"/>
        <v>#NAME?</v>
      </c>
      <c r="BZ17" s="309" t="str">
        <f>IF(AND(BY17&gt;0,BY17=MAX(BY$7:BY$17)),11,0)</f>
        <v>#NAME?</v>
      </c>
      <c r="CA17" s="309">
        <f>BX17</f>
        <v>1180</v>
      </c>
      <c r="CB17" s="368"/>
      <c r="CC17" s="352">
        <f t="shared" si="64"/>
        <v>7.195182528</v>
      </c>
      <c r="CD17" s="309" t="str">
        <f t="shared" si="11"/>
        <v>#NAME?</v>
      </c>
      <c r="CE17" s="309">
        <f>CE18</f>
        <v>841</v>
      </c>
      <c r="CF17" s="309" t="str">
        <f t="shared" si="66"/>
        <v>#NAME?</v>
      </c>
      <c r="CG17" s="309" t="str">
        <f>IF(AND(CF17&gt;0,CF17=MAX(CF$7:CF$17)),11,0)</f>
        <v>#NAME?</v>
      </c>
      <c r="CH17" s="309">
        <f>CE17</f>
        <v>841</v>
      </c>
      <c r="CI17" s="368"/>
      <c r="CJ17" s="352">
        <f t="shared" si="69"/>
        <v>2.538885266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1.336091456</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0.8128870604</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0.752</v>
      </c>
      <c r="F32" s="387">
        <f t="shared" si="80"/>
        <v>0.752</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0.752</v>
      </c>
      <c r="F33" s="387">
        <f t="shared" si="80"/>
        <v>0.752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1.222</v>
      </c>
      <c r="F34" s="387">
        <f t="shared" si="80"/>
        <v>1.222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1.222</v>
      </c>
      <c r="F35" s="387">
        <f t="shared" si="80"/>
        <v>1.222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1.222</v>
      </c>
      <c r="F36" s="387">
        <f t="shared" si="80"/>
        <v>1.222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1.222</v>
      </c>
      <c r="F37" s="387">
        <f t="shared" si="80"/>
        <v>1.222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1.222</v>
      </c>
      <c r="F38" s="387">
        <f t="shared" si="80"/>
        <v>1.222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1.222</v>
      </c>
      <c r="F39" s="387">
        <f t="shared" si="80"/>
        <v>1.222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1.222</v>
      </c>
      <c r="F40" s="315">
        <f t="shared" si="80"/>
        <v>1.222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0.8223065746</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12</v>
      </c>
      <c r="C6" s="426">
        <f>C5+'Caratteristiche componente'!$D8</f>
        <v>12</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16</v>
      </c>
      <c r="C7" s="426">
        <f>C6+'Caratteristiche componente'!$D9</f>
        <v>16</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18</v>
      </c>
      <c r="C8" s="426">
        <f>C7+'Caratteristiche componente'!$D10</f>
        <v>18</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18</v>
      </c>
      <c r="C9" s="426">
        <f>C8+'Caratteristiche componente'!$D11</f>
        <v>18</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18</v>
      </c>
      <c r="C10" s="426">
        <f>C9+'Caratteristiche componente'!$D12</f>
        <v>18</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18</v>
      </c>
      <c r="C11" s="426">
        <f>C10+'Caratteristiche componente'!$D13</f>
        <v>18</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18</v>
      </c>
      <c r="C12" s="426">
        <f>C11+'Caratteristiche componente'!$D14</f>
        <v>18</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18</v>
      </c>
      <c r="C13" s="426">
        <f>C12+'Caratteristiche componente'!$D15</f>
        <v>18</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18</v>
      </c>
      <c r="C14" s="426">
        <f>C13+'Caratteristiche componente'!$D16</f>
        <v>18</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
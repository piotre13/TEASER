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tsat">#REF!</definedName>
    <definedName name="pvs_t">#REF!</definedName>
    <definedName name="ngiorni">#REF!</definedName>
    <definedName localSheetId="9" name="OLE_LINK1">Materiali!$C$2</definedName>
    <definedName name="imese">#REF!</definedName>
    <definedName hidden="1" localSheetId="9" name="_xlnm._FilterDatabase">Materiali!$B$2:$C$216</definedName>
  </definedNames>
  <calcPr/>
</workbook>
</file>

<file path=xl/sharedStrings.xml><?xml version="1.0" encoding="utf-8"?>
<sst xmlns="http://schemas.openxmlformats.org/spreadsheetml/2006/main" count="1625" uniqueCount="660">
  <si>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</si>
  <si>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</si>
  <si>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</si>
  <si>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</si>
  <si>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</si>
  <si>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</si>
  <si>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</si>
  <si>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</si>
  <si>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</si>
  <si>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</si>
  <si>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</si>
  <si>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orizzontale inferiore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</si>
  <si>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</si>
  <si>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</si>
  <si>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</si>
  <si>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</si>
  <si>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</si>
  <si>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</si>
  <si>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</si>
  <si>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</si>
  <si>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</si>
  <si>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</si>
  <si>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</si>
  <si>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</si>
  <si>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</si>
  <si>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</si>
  <si>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</si>
  <si>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</si>
  <si>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</si>
  <si>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</si>
  <si>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</si>
  <si>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</si>
  <si>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</si>
  <si>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</si>
  <si>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</si>
  <si>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</si>
  <si>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</si>
  <si>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</si>
  <si>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piastrelle</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</si>
  <si>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</si>
  <si>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</si>
  <si>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</si>
  <si>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</si>
  <si>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</si>
  <si>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</si>
  <si>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</si>
  <si>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solaio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</si>
  <si>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</si>
  <si>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</si>
  <si>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</si>
  <si>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intonaco</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</si>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</sst>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5"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835687796"/>
        <c:axId val="1419346657"/>
      </c:scatterChart>
      <c:valAx>
        <c:axId val="835687796"/>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19346657"/>
      </c:valAx>
      <c:valAx>
        <c:axId val="141934665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35687796"/>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822652041"/>
        <c:axId val="1263383974"/>
      </c:scatterChart>
      <c:valAx>
        <c:axId val="1822652041"/>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63383974"/>
      </c:valAx>
      <c:valAx>
        <c:axId val="1263383974"/>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22652041"/>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476914649"/>
        <c:axId val="1656851404"/>
      </c:scatterChart>
      <c:valAx>
        <c:axId val="476914649"/>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56851404"/>
      </c:valAx>
      <c:valAx>
        <c:axId val="1656851404"/>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76914649"/>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625868297"/>
        <c:axId val="119528264"/>
      </c:scatterChart>
      <c:valAx>
        <c:axId val="1625868297"/>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9528264"/>
      </c:valAx>
      <c:valAx>
        <c:axId val="119528264"/>
        <c:scaling>
          <c:orientation val="minMax"/>
        </c:scaling>
        <c:delete val="0"/>
        <c:axPos val="l"/>
        <c:tickLblPos val="nextTo"/>
        <c:spPr>
          <a:ln>
            <a:noFill/>
          </a:ln>
        </c:spPr>
        <c:crossAx val="1625868297"/>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437482629"/>
        <c:axId val="1175336127"/>
      </c:scatterChart>
      <c:valAx>
        <c:axId val="1437482629"/>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75336127"/>
      </c:valAx>
      <c:valAx>
        <c:axId val="1175336127"/>
        <c:scaling>
          <c:orientation val="minMax"/>
        </c:scaling>
        <c:delete val="0"/>
        <c:axPos val="l"/>
        <c:tickLblPos val="nextTo"/>
        <c:spPr>
          <a:ln>
            <a:noFill/>
          </a:ln>
        </c:spPr>
        <c:crossAx val="1437482629"/>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063572959"/>
        <c:axId val="1332898441"/>
      </c:scatterChart>
      <c:valAx>
        <c:axId val="10635729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32898441"/>
      </c:valAx>
      <c:valAx>
        <c:axId val="133289844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63572959"/>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82892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1905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9</xdr:row>
      <xdr:rowOff>0</xdr:rowOff>
    </xdr:from>
    <xdr:ext cx="2381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19075" cy="1809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9550" cy="1905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13</xdr:row>
      <xdr:rowOff>0</xdr:rowOff>
    </xdr:from>
    <xdr:ext cx="190500" cy="1619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209550" cy="1905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18160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18160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362325"/>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123825</xdr:rowOff>
    </xdr:from>
    <xdr:ext cx="9144000" cy="33813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95250</xdr:rowOff>
    </xdr:from>
    <xdr:ext cx="6981825" cy="355282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5.5" customHeight="1">
      <c r="A2" s="1"/>
      <c r="B2" s="2" t="s">
        <v>0</v>
      </c>
      <c r="C2" s="3"/>
      <c r="D2" s="4"/>
      <c r="E2" s="1"/>
      <c r="F2" s="1"/>
      <c r="G2" s="1"/>
      <c r="H2" s="1"/>
      <c r="I2" s="1"/>
      <c r="J2" s="1"/>
      <c r="K2" s="1"/>
      <c r="L2" s="1"/>
      <c r="M2" s="1"/>
      <c r="N2" s="1"/>
      <c r="O2" s="1"/>
      <c r="P2" s="1"/>
      <c r="Q2" s="1"/>
      <c r="R2" s="1"/>
      <c r="S2" s="1"/>
      <c r="T2" s="1"/>
      <c r="U2" s="1"/>
      <c r="V2" s="1"/>
      <c r="W2" s="1"/>
      <c r="X2" s="1"/>
      <c r="Y2" s="1"/>
      <c r="Z2" s="1"/>
    </row>
    <row r="3" ht="19.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19.5"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9.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6.0"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30" width="4.5"/>
  </cols>
  <sheetData>
    <row r="1" ht="12.7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2.7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2.7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0" customHeight="1">
      <c r="A6" s="18"/>
      <c r="B6" s="47" t="s">
        <v>34</v>
      </c>
      <c r="C6" s="25"/>
      <c r="D6" s="48"/>
      <c r="E6" s="49"/>
      <c r="F6" s="49"/>
      <c r="G6" s="49"/>
      <c r="H6" s="49"/>
      <c r="I6" s="50">
        <f>$AC$13</f>
        <v>0.17</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11</v>
      </c>
      <c r="AC6" s="46">
        <v>0.17</v>
      </c>
      <c r="AD6" s="46">
        <v>0.04</v>
      </c>
    </row>
    <row r="7" ht="15.0" customHeight="1">
      <c r="A7" s="18"/>
      <c r="B7" s="57" t="str">
        <f>ROMAN(1)</f>
        <v>I</v>
      </c>
      <c r="C7" s="58" t="s">
        <v>38</v>
      </c>
      <c r="D7" s="59">
        <v>1.0</v>
      </c>
      <c r="E7" s="60"/>
      <c r="F7" s="61"/>
      <c r="G7" s="62"/>
      <c r="H7" s="63">
        <v>1.0</v>
      </c>
      <c r="I7" s="64"/>
      <c r="J7" s="65"/>
      <c r="K7" s="18"/>
      <c r="L7" s="18"/>
      <c r="M7" s="66" t="s">
        <v>39</v>
      </c>
      <c r="N7" s="67" t="str">
        <f>'Calcoli componente'!$L$44</f>
        <v>#DIV/0!</v>
      </c>
      <c r="O7" s="68" t="s">
        <v>40</v>
      </c>
      <c r="P7" s="69" t="str">
        <f>'Calcoli componente'!K44</f>
        <v>#DIV/0!</v>
      </c>
      <c r="Q7" s="70" t="s">
        <v>37</v>
      </c>
      <c r="R7" s="18"/>
      <c r="S7" s="18"/>
      <c r="T7" s="18"/>
      <c r="U7" s="18"/>
      <c r="V7" s="18"/>
      <c r="W7" s="18"/>
      <c r="X7" s="18"/>
      <c r="Y7" s="18"/>
      <c r="Z7" s="18"/>
      <c r="AA7" s="18"/>
      <c r="AB7" s="45" t="s">
        <v>41</v>
      </c>
      <c r="AC7" s="46">
        <v>0.17</v>
      </c>
      <c r="AD7" s="46">
        <v>0.04</v>
      </c>
    </row>
    <row r="8" ht="15.75" customHeight="1">
      <c r="A8" s="18"/>
      <c r="B8" s="71" t="str">
        <f>ROMAN(2)</f>
        <v>II</v>
      </c>
      <c r="C8" s="72" t="s">
        <v>42</v>
      </c>
      <c r="D8" s="73">
        <v>6.0</v>
      </c>
      <c r="E8" s="74"/>
      <c r="F8" s="75"/>
      <c r="G8" s="76"/>
      <c r="H8" s="77">
        <v>0.44</v>
      </c>
      <c r="I8" s="78"/>
      <c r="J8" s="79"/>
      <c r="K8" s="18"/>
      <c r="L8" s="18"/>
      <c r="M8" s="80" t="s">
        <v>43</v>
      </c>
      <c r="N8" s="81" t="str">
        <f>'Calcoli componente'!$L$30</f>
        <v>#DIV/0!</v>
      </c>
      <c r="O8" s="82" t="s">
        <v>44</v>
      </c>
      <c r="P8" s="83" t="str">
        <f>'Calcoli componente'!K30</f>
        <v>#DIV/0!</v>
      </c>
      <c r="Q8" s="84" t="s">
        <v>37</v>
      </c>
      <c r="R8" s="18"/>
      <c r="S8" s="18"/>
      <c r="T8" s="18"/>
      <c r="U8" s="18"/>
      <c r="V8" s="18"/>
      <c r="W8" s="18"/>
      <c r="X8" s="18"/>
      <c r="Y8" s="18"/>
      <c r="Z8" s="18"/>
      <c r="AA8" s="18"/>
      <c r="AB8" s="45" t="s">
        <v>45</v>
      </c>
      <c r="AC8" s="46">
        <v>0.1</v>
      </c>
      <c r="AD8" s="46">
        <v>0.04</v>
      </c>
    </row>
    <row r="9" ht="15.0" customHeight="1">
      <c r="A9" s="18"/>
      <c r="B9" s="71" t="str">
        <f>ROMAN(3)</f>
        <v>III</v>
      </c>
      <c r="C9" s="72" t="s">
        <v>46</v>
      </c>
      <c r="D9" s="73">
        <v>26.0</v>
      </c>
      <c r="E9" s="74"/>
      <c r="F9" s="75"/>
      <c r="G9" s="76"/>
      <c r="H9" s="85"/>
      <c r="I9" s="86">
        <v>0.38</v>
      </c>
      <c r="J9" s="79"/>
      <c r="K9" s="18"/>
      <c r="L9" s="18"/>
      <c r="M9" s="87" t="s">
        <v>47</v>
      </c>
      <c r="N9" s="88" t="str">
        <f>'Calcoli componente'!$E$37</f>
        <v>#DIV/0!</v>
      </c>
      <c r="O9" s="89" t="s">
        <v>48</v>
      </c>
      <c r="P9" s="90"/>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2.0</v>
      </c>
      <c r="E10" s="74"/>
      <c r="F10" s="75"/>
      <c r="G10" s="76"/>
      <c r="H10" s="91">
        <v>0.9</v>
      </c>
      <c r="I10" s="78"/>
      <c r="J10" s="79"/>
      <c r="K10" s="18"/>
      <c r="L10" s="18"/>
      <c r="M10" s="92" t="s">
        <v>51</v>
      </c>
      <c r="N10" s="93" t="str">
        <f>'Calcoli componente'!$E$44</f>
        <v>#DIV/0!</v>
      </c>
      <c r="O10" s="94" t="s">
        <v>52</v>
      </c>
      <c r="P10" s="95"/>
      <c r="Q10" s="96"/>
      <c r="R10" s="18"/>
      <c r="S10" s="18"/>
      <c r="T10" s="18"/>
      <c r="U10" s="18"/>
      <c r="V10" s="18"/>
      <c r="W10" s="18"/>
      <c r="X10" s="18"/>
      <c r="Y10" s="18"/>
      <c r="Z10" s="18"/>
      <c r="AA10" s="18"/>
      <c r="AB10" s="45" t="s">
        <v>53</v>
      </c>
      <c r="AC10" s="46">
        <v>0.13</v>
      </c>
      <c r="AD10" s="46">
        <v>0.13</v>
      </c>
    </row>
    <row r="11" ht="14.25" customHeight="1">
      <c r="A11" s="18"/>
      <c r="B11" s="71" t="str">
        <f>ROMAN(5)</f>
        <v>V</v>
      </c>
      <c r="C11" s="72"/>
      <c r="D11" s="73"/>
      <c r="E11" s="74"/>
      <c r="F11" s="75"/>
      <c r="G11" s="76"/>
      <c r="H11" s="91"/>
      <c r="I11" s="78"/>
      <c r="J11" s="79"/>
      <c r="K11" s="18"/>
      <c r="L11" s="18"/>
      <c r="M11" s="52" t="s">
        <v>54</v>
      </c>
      <c r="N11" s="97">
        <f>'Calcoli componente'!$K$26</f>
        <v>0.7585858586</v>
      </c>
      <c r="O11" s="98" t="s">
        <v>55</v>
      </c>
      <c r="P11" s="99"/>
      <c r="Q11" s="100"/>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1"/>
      <c r="I12" s="78"/>
      <c r="J12" s="79"/>
      <c r="K12" s="18"/>
      <c r="L12" s="18"/>
      <c r="M12" s="66" t="s">
        <v>56</v>
      </c>
      <c r="N12" s="101">
        <f>'Calcoli componente'!$L$26</f>
        <v>1.318242344</v>
      </c>
      <c r="O12" s="102" t="s">
        <v>57</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1"/>
      <c r="I13" s="78"/>
      <c r="J13" s="79"/>
      <c r="K13" s="18"/>
      <c r="L13" s="18"/>
      <c r="M13" s="92" t="s">
        <v>58</v>
      </c>
      <c r="N13" s="104" t="str">
        <f>'Calcoli componente'!$L$33</f>
        <v>#DIV/0!</v>
      </c>
      <c r="O13" s="105"/>
      <c r="P13" s="95"/>
      <c r="Q13" s="96"/>
      <c r="R13" s="18"/>
      <c r="S13" s="18"/>
      <c r="T13" s="18"/>
      <c r="U13" s="18"/>
      <c r="V13" s="18"/>
      <c r="W13" s="18"/>
      <c r="X13" s="18"/>
      <c r="Y13" s="18"/>
      <c r="Z13" s="18"/>
      <c r="AA13" s="18"/>
      <c r="AB13" s="106" t="str">
        <f>D2</f>
        <v>Chiusura orizzontale inferiore</v>
      </c>
      <c r="AC13" s="107">
        <f>DGET($AB$4:$AD$10,"Rsi",$AB$12:$AB$13)</f>
        <v>0.17</v>
      </c>
      <c r="AD13" s="107">
        <f>DGET($AB$4:$AD$10,"Rse",$AB$12:$AB$13)</f>
        <v>0.04</v>
      </c>
    </row>
    <row r="14" ht="12.75" customHeight="1">
      <c r="A14" s="18"/>
      <c r="B14" s="71" t="str">
        <f>ROMAN(8)</f>
        <v>VIII</v>
      </c>
      <c r="C14" s="72"/>
      <c r="D14" s="73"/>
      <c r="E14" s="74"/>
      <c r="F14" s="75"/>
      <c r="G14" s="76"/>
      <c r="H14" s="91"/>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1"/>
      <c r="I15" s="78"/>
      <c r="J15" s="79"/>
      <c r="K15" s="18"/>
      <c r="L15" s="18"/>
      <c r="M15" s="87" t="s">
        <v>59</v>
      </c>
      <c r="N15" s="88">
        <f>'Calcoli componente'!C17</f>
        <v>35</v>
      </c>
      <c r="O15" s="89" t="s">
        <v>60</v>
      </c>
      <c r="P15" s="90"/>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1"/>
      <c r="I16" s="78"/>
      <c r="J16" s="79"/>
      <c r="K16" s="18"/>
      <c r="L16" s="18"/>
      <c r="M16" s="66" t="s">
        <v>61</v>
      </c>
      <c r="N16" s="108">
        <f>'Calcoli componente'!I17</f>
        <v>0</v>
      </c>
      <c r="O16" s="102" t="s">
        <v>62</v>
      </c>
      <c r="P16" s="103"/>
      <c r="Q16" s="70"/>
      <c r="R16" s="18"/>
      <c r="S16" s="18"/>
      <c r="T16" s="18"/>
      <c r="U16" s="18"/>
      <c r="V16" s="18"/>
      <c r="W16" s="18"/>
      <c r="X16" s="18"/>
      <c r="Y16" s="18"/>
      <c r="Z16" s="18"/>
      <c r="AA16" s="18"/>
      <c r="AB16" s="18"/>
      <c r="AC16" s="18"/>
      <c r="AD16" s="18"/>
    </row>
    <row r="17" ht="13.5" customHeight="1">
      <c r="A17" s="18"/>
      <c r="B17" s="109" t="s">
        <v>63</v>
      </c>
      <c r="C17" s="35"/>
      <c r="D17" s="110"/>
      <c r="E17" s="111"/>
      <c r="F17" s="111"/>
      <c r="G17" s="111"/>
      <c r="H17" s="111"/>
      <c r="I17" s="112">
        <f>$AD$13</f>
        <v>0.04</v>
      </c>
      <c r="J17" s="113"/>
      <c r="K17" s="18"/>
      <c r="L17" s="18"/>
      <c r="M17" s="92" t="s">
        <v>64</v>
      </c>
      <c r="N17" s="114" t="str">
        <f>ABS((SIGN($P$8)*(ABS($P$8)/24-INT(ABS($P$8)/24))-IF(AND($P$8&gt;0,(ABS($P$8)/24-INT(ABS($P$8)/24))&lt;&gt;0),1,0))*24)</f>
        <v>#DIV/0!</v>
      </c>
      <c r="O17" s="105" t="s">
        <v>37</v>
      </c>
      <c r="P17" s="95"/>
      <c r="Q17" s="96"/>
      <c r="R17" s="18"/>
      <c r="S17" s="18"/>
      <c r="T17" s="18"/>
      <c r="U17" s="18"/>
      <c r="V17" s="18"/>
      <c r="W17" s="18"/>
      <c r="X17" s="18"/>
      <c r="Y17" s="18"/>
      <c r="Z17" s="18"/>
      <c r="AA17" s="18"/>
      <c r="AB17" s="18"/>
      <c r="AC17" s="18"/>
      <c r="AD17" s="18"/>
    </row>
    <row r="18" ht="12.0"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2.7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65</v>
      </c>
      <c r="N20" s="18"/>
      <c r="O20" s="18"/>
      <c r="P20" s="18"/>
      <c r="Q20" s="18"/>
      <c r="R20" s="18"/>
      <c r="S20" s="18"/>
      <c r="T20" s="18"/>
      <c r="U20" s="18"/>
      <c r="V20" s="18"/>
      <c r="W20" s="18"/>
      <c r="X20" s="18"/>
      <c r="Y20" s="18"/>
      <c r="Z20" s="18"/>
      <c r="AA20" s="18"/>
      <c r="AB20" s="18"/>
      <c r="AC20" s="18"/>
      <c r="AD20" s="18"/>
    </row>
    <row r="21" ht="12.0" customHeight="1">
      <c r="A21" s="18"/>
      <c r="B21" s="18"/>
      <c r="C21" s="18"/>
      <c r="D21" s="18"/>
      <c r="E21" s="18"/>
      <c r="F21" s="18"/>
      <c r="G21" s="18"/>
      <c r="H21" s="18"/>
      <c r="I21" s="18"/>
      <c r="J21" s="19"/>
      <c r="K21" s="18"/>
      <c r="L21" s="18"/>
      <c r="M21" s="116" t="s">
        <v>66</v>
      </c>
      <c r="N21" s="18"/>
      <c r="O21" s="18"/>
      <c r="P21" s="18"/>
      <c r="Q21" s="18"/>
      <c r="R21" s="18"/>
      <c r="S21" s="18"/>
      <c r="T21" s="18"/>
      <c r="U21" s="18"/>
      <c r="V21" s="18"/>
      <c r="W21" s="18"/>
      <c r="X21" s="18"/>
      <c r="Y21" s="18"/>
      <c r="Z21" s="18"/>
      <c r="AA21" s="18"/>
      <c r="AB21" s="18"/>
      <c r="AC21" s="18"/>
      <c r="AD21" s="18"/>
    </row>
    <row r="22" ht="12.0" customHeight="1">
      <c r="A22" s="18"/>
      <c r="B22" s="18"/>
      <c r="C22" s="18"/>
      <c r="D22" s="18"/>
      <c r="E22" s="18"/>
      <c r="F22" s="18"/>
      <c r="G22" s="18"/>
      <c r="H22" s="18"/>
      <c r="I22" s="18"/>
      <c r="J22" s="19"/>
      <c r="K22" s="18"/>
      <c r="L22" s="18"/>
      <c r="M22" s="117" t="s">
        <v>67</v>
      </c>
      <c r="N22" s="18"/>
      <c r="O22" s="18"/>
      <c r="P22" s="18"/>
      <c r="Q22" s="18"/>
      <c r="R22" s="18"/>
      <c r="S22" s="18"/>
      <c r="T22" s="18"/>
      <c r="U22" s="18"/>
      <c r="V22" s="18"/>
      <c r="W22" s="18"/>
      <c r="X22" s="18"/>
      <c r="Y22" s="18"/>
      <c r="Z22" s="18"/>
      <c r="AA22" s="18"/>
      <c r="AB22" s="18"/>
      <c r="AC22" s="18"/>
      <c r="AD22" s="18"/>
    </row>
    <row r="23" ht="12.0" customHeight="1">
      <c r="A23" s="18"/>
      <c r="B23" s="18"/>
      <c r="C23" s="18"/>
      <c r="D23" s="18"/>
      <c r="E23" s="18"/>
      <c r="F23" s="18"/>
      <c r="G23" s="18"/>
      <c r="H23" s="18"/>
      <c r="I23" s="18"/>
      <c r="J23" s="19"/>
      <c r="K23" s="18"/>
      <c r="L23" s="18"/>
      <c r="M23" s="118" t="s">
        <v>68</v>
      </c>
      <c r="N23" s="18"/>
      <c r="O23" s="18"/>
      <c r="P23" s="18"/>
      <c r="Q23" s="18"/>
      <c r="R23" s="18"/>
      <c r="S23" s="18"/>
      <c r="T23" s="18"/>
      <c r="U23" s="18"/>
      <c r="V23" s="18"/>
      <c r="W23" s="18"/>
      <c r="X23" s="18"/>
      <c r="Y23" s="18"/>
      <c r="Z23" s="18"/>
      <c r="AA23" s="18"/>
      <c r="AB23" s="18"/>
      <c r="AC23" s="18"/>
      <c r="AD23" s="18"/>
    </row>
    <row r="24" ht="12.0" customHeight="1">
      <c r="A24" s="18"/>
      <c r="B24" s="18"/>
      <c r="C24" s="18"/>
      <c r="D24" s="18"/>
      <c r="E24" s="18"/>
      <c r="F24" s="18"/>
      <c r="G24" s="18"/>
      <c r="H24" s="18"/>
      <c r="I24" s="18"/>
      <c r="J24" s="19"/>
      <c r="K24" s="18"/>
      <c r="L24" s="18"/>
      <c r="M24" s="118" t="s">
        <v>69</v>
      </c>
      <c r="N24" s="18"/>
      <c r="O24" s="18"/>
      <c r="P24" s="18"/>
      <c r="Q24" s="18"/>
      <c r="R24" s="18"/>
      <c r="S24" s="18"/>
      <c r="T24" s="18"/>
      <c r="U24" s="18"/>
      <c r="V24" s="18"/>
      <c r="W24" s="18"/>
      <c r="X24" s="18"/>
      <c r="Y24" s="18"/>
      <c r="Z24" s="18"/>
      <c r="AA24" s="18"/>
      <c r="AB24" s="18"/>
      <c r="AC24" s="18"/>
      <c r="AD24" s="18"/>
    </row>
    <row r="25" ht="12.0" customHeight="1">
      <c r="A25" s="18"/>
      <c r="B25" s="18"/>
      <c r="C25" s="18"/>
      <c r="D25" s="18"/>
      <c r="E25" s="18"/>
      <c r="F25" s="18"/>
      <c r="G25" s="18"/>
      <c r="H25" s="18"/>
      <c r="I25" s="18"/>
      <c r="J25" s="19"/>
      <c r="K25" s="18"/>
      <c r="L25" s="18"/>
      <c r="M25" s="117" t="s">
        <v>70</v>
      </c>
      <c r="N25" s="18"/>
      <c r="O25" s="18"/>
      <c r="P25" s="18"/>
      <c r="Q25" s="18"/>
      <c r="R25" s="18"/>
      <c r="S25" s="18"/>
      <c r="T25" s="18"/>
      <c r="U25" s="18"/>
      <c r="V25" s="18"/>
      <c r="W25" s="18"/>
      <c r="X25" s="18"/>
      <c r="Y25" s="18"/>
      <c r="Z25" s="18"/>
      <c r="AA25" s="18"/>
      <c r="AB25" s="18"/>
      <c r="AC25" s="18"/>
      <c r="AD25" s="18"/>
    </row>
    <row r="26" ht="12.75" customHeight="1">
      <c r="A26" s="18"/>
      <c r="B26" s="18"/>
      <c r="C26" s="18"/>
      <c r="D26" s="18"/>
      <c r="E26" s="18"/>
      <c r="F26" s="18"/>
      <c r="G26" s="18"/>
      <c r="H26" s="18"/>
      <c r="I26" s="18"/>
      <c r="J26" s="19"/>
      <c r="K26" s="18"/>
      <c r="L26" s="18"/>
      <c r="M26" s="119" t="s">
        <v>71</v>
      </c>
      <c r="N26" s="18"/>
      <c r="O26" s="18"/>
      <c r="P26" s="18"/>
      <c r="Q26" s="18"/>
      <c r="R26" s="18"/>
      <c r="S26" s="18"/>
      <c r="T26" s="18"/>
      <c r="U26" s="18"/>
      <c r="V26" s="18"/>
      <c r="W26" s="18"/>
      <c r="X26" s="18"/>
      <c r="Y26" s="18"/>
      <c r="Z26" s="18"/>
      <c r="AA26" s="18"/>
      <c r="AB26" s="18"/>
      <c r="AC26" s="18"/>
      <c r="AD26" s="18"/>
    </row>
    <row r="27" ht="12.0"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0"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0"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0"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0"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0"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0"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0"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0"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0"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0"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0"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0"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0"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0"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0"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0"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0"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0"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0"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0"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0"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0"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0"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0"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0"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0"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0"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0"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0"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0"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0"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0"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0"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0"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0"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0"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0"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0"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0"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0"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0"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0"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0"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0"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0"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0"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0"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0"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0"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0"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0"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0"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0"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0"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0"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0"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0"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0"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0"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0"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0"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0"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0"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0"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0"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0"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0"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0"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0"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0"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0"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0"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0"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0"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0"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0"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0"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0"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0"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0"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0"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0"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0"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0"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0"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0"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0"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0"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0"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0"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0"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0"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0"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0"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0"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0"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0"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0"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0"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0"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0"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0"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0"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0"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0"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0"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0"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0"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0"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0"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0"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0"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0"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0"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0"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0"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0"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0"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0"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0"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0"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0"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0"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0"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0"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0"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0"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0"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0"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0"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0"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0"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0"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0"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0"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0"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0"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0"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0"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0"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0"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0"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0"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0"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0"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0"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0"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0"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0"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0"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0"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0"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0"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0"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0"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0"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0"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0"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0"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0"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0"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0"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0"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0"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0"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0"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0"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0"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0"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0"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0"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0"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0"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0"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0"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0"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0"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0"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0"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0"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0"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0"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0"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0"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0"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0"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0"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0"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0"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0"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0"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0"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0"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0"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0"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0"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0"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0"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0"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0"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0"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0"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0"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0"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0"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0"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0"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0"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0"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0"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0"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0"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0"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0"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0"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0"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0"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0"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0"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0"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0"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0"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0"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0"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0"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0"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0"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0"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0"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0"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0"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0"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0"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0"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0"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0"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0"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0"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0"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0"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0"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0"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0"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0"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0"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0"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0"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0"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0"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0"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0"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0"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0"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0"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0"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0"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0"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0"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0"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0"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0"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0"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0"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0"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0"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0"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0"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0"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0"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0"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0"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0"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0"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0"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0"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0"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0"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0"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0"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0"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0"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0"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0"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0"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0"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0"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0"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0"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0"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0"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0"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0"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0"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0"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0"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0"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0"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0"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0"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0"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0"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0"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0"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0"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0"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0"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0"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0"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0"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0"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0"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0"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0"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0"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0"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0"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0"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0"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0"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0"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0"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0"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0"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0"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0"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0"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0"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0"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0"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0"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0"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0"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0"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0"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0"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0"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0"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0"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0"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0"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0"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0"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0"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0"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0"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0"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0"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0"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0"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0"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0"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0"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0"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0"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0"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0"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0"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0"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0"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0"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0"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0"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0"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0"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0"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0"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0"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0"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0"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0"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0"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0"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0"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0"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0"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0"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0"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0"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0"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0"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0"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0"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0"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0"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0"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0"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0"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0"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0"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0"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0"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0"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0"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0"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0"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0"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0"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0"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0"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0"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0"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0"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0"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0"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0"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0"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0"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0"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0"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0"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0"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0"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0"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0"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0"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0"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0"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0"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0"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0"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0"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0"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0"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0"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0"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0"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0"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0"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0"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0"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0"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0"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0"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0"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0"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0"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0"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0"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0"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0"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0"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0"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0"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0"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0"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0"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0"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0"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0"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0"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0"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0"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0"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0"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0"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0"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0"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0"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0"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0"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0"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0"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0"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0"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0"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0"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0"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0"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0"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0"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0"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0"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0"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0"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0"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0"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0"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0"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0"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0"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0"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0"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0"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0"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0"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0"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0"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0"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0"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0"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0"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0"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0"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0"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0"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0"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0"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0"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0"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0"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0"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0"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0"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0"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0"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0"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0"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0"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0"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0"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0"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0"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0"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0"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0"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0"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0"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0"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0"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0"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0"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0"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0"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0"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0"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0"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0"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0"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0"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0"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0"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0"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0"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0"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0"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0"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0"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0"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0"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0"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0"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0"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0"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0"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0"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0"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0"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0"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0"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0"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0"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0"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0"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0"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0"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0"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0"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0"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0"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0"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0"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0"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0"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0"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0"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0"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0"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0"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0"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0"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0"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0"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0"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0"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0"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0"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0"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0"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0"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0"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0"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0"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0"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0"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0"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0"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0"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0"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0"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0"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0"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0"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0"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0"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0"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0"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0"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0"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0"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0"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0"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0"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0"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0"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0"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0"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0"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0"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0"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0"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0"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0"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0"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0"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0"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0"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0"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0"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0"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0"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0"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0"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0"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0"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0"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0"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0"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0"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0"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0"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0"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0"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0"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0"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0"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0"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0"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0"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0"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0"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0"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0"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0"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0"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0"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0"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0"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0"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0"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0"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0"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0"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0"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0"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0"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0"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0"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0"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0"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0"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0"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0"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0"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0"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0"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0"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0"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0"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0"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0"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0"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0"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0"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0"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0"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0"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0"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0"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0"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0"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0"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0"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0"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0"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0"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0"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0"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0"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0"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0"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0"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0"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0"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0"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0"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0"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0"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0"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0"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0"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0"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0"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0"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0"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0"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0"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0"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0"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0"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0"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0"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0"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0"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0"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0"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0"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0"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0"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0"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0"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0"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0"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0"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0"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0"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0"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0"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0"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0"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0"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0"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0"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0"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0"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0"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0"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0"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0"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0"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0"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0"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0"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0"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0"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0"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0"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0"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0"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0"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0"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0"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0"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0"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0"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0"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0"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0"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0"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0"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0"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0"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0"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0"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0"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0"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0"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0"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0"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0"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0"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0"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0"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0"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0"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0"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0"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0"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0"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0"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0"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0"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0"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0"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0"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0"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0"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0"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0"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0"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0"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0"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0"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0"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0"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0"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0"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0"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0"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0"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0"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0"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0"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0"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0"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0"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0"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0"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0"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0"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0"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0"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0"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0"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0"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0"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0"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0"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0"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0"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0"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0"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0"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0"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0"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0"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0"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0"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0"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0"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0"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0"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0"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0"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0"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0"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0"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0"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0"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0"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0"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0"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0"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0"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0"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0"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0"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0"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0"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0"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0"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0"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0"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0"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0"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0"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0"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0"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0"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0"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0"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0"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0"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0"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0"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0"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0"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0"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0"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0"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0"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0"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0"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0"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0"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0"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0"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0"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0"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0"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0"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0"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0"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0"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0"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0"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0"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0"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0"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0"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0"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0"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0"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0"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0"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0"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0"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0"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0"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0"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0"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0"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0"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0"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0"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0"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0"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0"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0"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0"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0"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0"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0"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0"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0"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0"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0"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0"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0"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0"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0"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0"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0"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0"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0"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0"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0"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0"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0"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0"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0"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0"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0"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0"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0"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0"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0"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0"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0"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0"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0"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0"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0"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0"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0"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0"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0"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0"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0"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0"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0"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0"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0"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0"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0"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0"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0"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0"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0"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0"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0"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0"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0"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0"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0"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0"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0"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0"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0"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0"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0"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0"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0"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0"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0"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0"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0"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0"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0"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0"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0"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0"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0"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0"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0"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0"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0"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0"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0"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0"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0"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0"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0"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0"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0"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0"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0"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0"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0"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0"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0"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0"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0"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0"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0"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0"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0"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0"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2.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2.75" customHeight="1">
      <c r="A38" s="120" t="s">
        <v>72</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0"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0"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0"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0"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0"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0"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0"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0"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0"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0"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0"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0"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0"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0"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0"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0"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0"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73</v>
      </c>
      <c r="D4" s="24" t="s">
        <v>74</v>
      </c>
      <c r="E4" s="121"/>
      <c r="F4" s="121"/>
      <c r="G4" s="121"/>
      <c r="H4" s="122"/>
      <c r="I4" s="24" t="s">
        <v>75</v>
      </c>
      <c r="J4" s="121"/>
      <c r="K4" s="121"/>
      <c r="L4" s="121"/>
      <c r="M4" s="122"/>
      <c r="N4" s="18"/>
      <c r="O4" s="18"/>
      <c r="P4" s="18"/>
      <c r="Q4" s="18"/>
      <c r="R4" s="123"/>
      <c r="S4" s="124"/>
      <c r="T4" s="124"/>
      <c r="U4" s="124"/>
      <c r="V4" s="124"/>
      <c r="W4" s="29"/>
      <c r="X4" s="24" t="s">
        <v>76</v>
      </c>
      <c r="Y4" s="121"/>
      <c r="Z4" s="121"/>
      <c r="AA4" s="121"/>
      <c r="AB4" s="122"/>
      <c r="AC4" s="24" t="s">
        <v>77</v>
      </c>
      <c r="AD4" s="121"/>
      <c r="AE4" s="121"/>
      <c r="AF4" s="121"/>
      <c r="AG4" s="122"/>
      <c r="AH4" s="24" t="s">
        <v>78</v>
      </c>
      <c r="AI4" s="121"/>
      <c r="AJ4" s="121"/>
      <c r="AK4" s="121"/>
      <c r="AL4" s="122"/>
      <c r="AM4" s="125" t="s">
        <v>79</v>
      </c>
      <c r="AN4" s="121"/>
      <c r="AO4" s="121"/>
      <c r="AP4" s="121"/>
      <c r="AQ4" s="122"/>
      <c r="AR4" s="19"/>
      <c r="AW4" s="19"/>
      <c r="BB4" s="19"/>
      <c r="BG4" s="18"/>
      <c r="BH4" s="18"/>
    </row>
    <row r="5" ht="15.0" customHeight="1">
      <c r="A5" s="126"/>
      <c r="B5" s="127"/>
      <c r="C5" s="128" t="s">
        <v>13</v>
      </c>
      <c r="D5" s="129" t="s">
        <v>14</v>
      </c>
      <c r="E5" s="130" t="s">
        <v>15</v>
      </c>
      <c r="F5" s="131" t="s">
        <v>16</v>
      </c>
      <c r="G5" s="130" t="s">
        <v>17</v>
      </c>
      <c r="H5" s="132" t="s">
        <v>80</v>
      </c>
      <c r="I5" s="71" t="s">
        <v>15</v>
      </c>
      <c r="J5" s="133" t="s">
        <v>81</v>
      </c>
      <c r="K5" s="33" t="s">
        <v>18</v>
      </c>
      <c r="L5" s="134" t="s">
        <v>82</v>
      </c>
      <c r="M5" s="132" t="s">
        <v>83</v>
      </c>
      <c r="N5" s="19"/>
      <c r="O5" s="123" t="s">
        <v>84</v>
      </c>
      <c r="P5" s="135" t="s">
        <v>85</v>
      </c>
      <c r="Q5" s="19"/>
      <c r="R5" s="129" t="s">
        <v>80</v>
      </c>
      <c r="S5" s="130" t="s">
        <v>86</v>
      </c>
      <c r="T5" s="136" t="s">
        <v>87</v>
      </c>
      <c r="U5" s="136" t="s">
        <v>88</v>
      </c>
      <c r="V5" s="136" t="s">
        <v>89</v>
      </c>
      <c r="W5" s="137" t="s">
        <v>90</v>
      </c>
      <c r="X5" s="71" t="s">
        <v>91</v>
      </c>
      <c r="Y5" s="33" t="s">
        <v>92</v>
      </c>
      <c r="Z5" s="33" t="s">
        <v>93</v>
      </c>
      <c r="AA5" s="33" t="s">
        <v>94</v>
      </c>
      <c r="AB5" s="132" t="s">
        <v>94</v>
      </c>
      <c r="AC5" s="71" t="s">
        <v>91</v>
      </c>
      <c r="AD5" s="33" t="s">
        <v>92</v>
      </c>
      <c r="AE5" s="33" t="s">
        <v>93</v>
      </c>
      <c r="AF5" s="33" t="s">
        <v>94</v>
      </c>
      <c r="AG5" s="132" t="s">
        <v>94</v>
      </c>
      <c r="AH5" s="71" t="s">
        <v>91</v>
      </c>
      <c r="AI5" s="33" t="s">
        <v>92</v>
      </c>
      <c r="AJ5" s="33" t="s">
        <v>93</v>
      </c>
      <c r="AK5" s="33" t="s">
        <v>94</v>
      </c>
      <c r="AL5" s="132" t="s">
        <v>94</v>
      </c>
      <c r="AM5" s="133" t="s">
        <v>91</v>
      </c>
      <c r="AN5" s="33" t="s">
        <v>92</v>
      </c>
      <c r="AO5" s="33" t="s">
        <v>93</v>
      </c>
      <c r="AP5" s="33" t="s">
        <v>94</v>
      </c>
      <c r="AQ5" s="132" t="s">
        <v>94</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95</v>
      </c>
      <c r="E6" s="38" t="s">
        <v>25</v>
      </c>
      <c r="F6" s="39" t="s">
        <v>26</v>
      </c>
      <c r="G6" s="138" t="s">
        <v>27</v>
      </c>
      <c r="H6" s="139" t="s">
        <v>96</v>
      </c>
      <c r="I6" s="37" t="s">
        <v>97</v>
      </c>
      <c r="J6" s="140" t="s">
        <v>98</v>
      </c>
      <c r="K6" s="138" t="s">
        <v>99</v>
      </c>
      <c r="L6" s="138" t="s">
        <v>100</v>
      </c>
      <c r="M6" s="139" t="s">
        <v>101</v>
      </c>
      <c r="N6" s="19"/>
      <c r="O6" s="37" t="s">
        <v>102</v>
      </c>
      <c r="P6" s="139" t="s">
        <v>102</v>
      </c>
      <c r="Q6" s="19"/>
      <c r="R6" s="37" t="s">
        <v>98</v>
      </c>
      <c r="S6" s="138" t="s">
        <v>25</v>
      </c>
      <c r="T6" s="138" t="s">
        <v>25</v>
      </c>
      <c r="U6" s="138" t="s">
        <v>25</v>
      </c>
      <c r="V6" s="138" t="s">
        <v>25</v>
      </c>
      <c r="W6" s="39" t="s">
        <v>25</v>
      </c>
      <c r="X6" s="37" t="s">
        <v>25</v>
      </c>
      <c r="Y6" s="138" t="s">
        <v>25</v>
      </c>
      <c r="Z6" s="138" t="s">
        <v>25</v>
      </c>
      <c r="AA6" s="138" t="s">
        <v>103</v>
      </c>
      <c r="AB6" s="139" t="s">
        <v>104</v>
      </c>
      <c r="AC6" s="37" t="s">
        <v>105</v>
      </c>
      <c r="AD6" s="138" t="s">
        <v>106</v>
      </c>
      <c r="AE6" s="138" t="s">
        <v>107</v>
      </c>
      <c r="AF6" s="138" t="s">
        <v>103</v>
      </c>
      <c r="AG6" s="139" t="s">
        <v>104</v>
      </c>
      <c r="AH6" s="37" t="s">
        <v>108</v>
      </c>
      <c r="AI6" s="138" t="s">
        <v>109</v>
      </c>
      <c r="AJ6" s="138" t="s">
        <v>110</v>
      </c>
      <c r="AK6" s="138" t="s">
        <v>103</v>
      </c>
      <c r="AL6" s="139" t="s">
        <v>104</v>
      </c>
      <c r="AM6" s="140" t="s">
        <v>25</v>
      </c>
      <c r="AN6" s="138" t="s">
        <v>25</v>
      </c>
      <c r="AO6" s="138" t="s">
        <v>25</v>
      </c>
      <c r="AP6" s="39" t="s">
        <v>103</v>
      </c>
      <c r="AQ6" s="139" t="s">
        <v>104</v>
      </c>
      <c r="AR6" s="19"/>
      <c r="AS6" s="19"/>
      <c r="AT6" s="19"/>
      <c r="AU6" s="19"/>
      <c r="AV6" s="19"/>
      <c r="AW6" s="19"/>
      <c r="AX6" s="19"/>
      <c r="AY6" s="19"/>
      <c r="AZ6" s="19"/>
      <c r="BA6" s="19"/>
      <c r="BB6" s="19"/>
      <c r="BC6" s="19"/>
      <c r="BD6" s="19"/>
      <c r="BE6" s="19"/>
      <c r="BF6" s="19"/>
      <c r="BG6" s="19"/>
      <c r="BH6" s="19"/>
    </row>
    <row r="7" ht="12.0" customHeight="1">
      <c r="A7" s="123" t="str">
        <f>ROMAN(1)</f>
        <v>I</v>
      </c>
      <c r="B7" s="141" t="str">
        <f>IF('Caratteristiche componente'!C7&lt;&gt;"",'Caratteristiche componente'!C7,"")</f>
        <v>piastrelle</v>
      </c>
      <c r="C7" s="142">
        <f>'Caratteristiche componente'!D7</f>
        <v>1</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1</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0.01</v>
      </c>
      <c r="L7" s="149">
        <f t="shared" ref="L7:L17" si="4">IF($C7&gt;0,1/$K7,"")</f>
        <v>100</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0" customHeight="1">
      <c r="A8" s="71" t="str">
        <f>ROMAN(2)</f>
        <v>II</v>
      </c>
      <c r="B8" s="72" t="str">
        <f>IF('Caratteristiche componente'!C8&lt;&gt;"",'Caratteristiche componente'!C8,"")</f>
        <v>cls</v>
      </c>
      <c r="C8" s="158">
        <f>'Caratteristiche componente'!D8</f>
        <v>6</v>
      </c>
      <c r="D8" s="74" t="str">
        <f>IF('Caratteristiche componente'!E8&lt;&gt;"",'Caratteristiche componente'!E8,"")</f>
        <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0.44</v>
      </c>
      <c r="H8" s="159" t="str">
        <f t="shared" si="1"/>
        <v>#DIV/0!</v>
      </c>
      <c r="I8" s="160">
        <f t="shared" si="2"/>
        <v>0</v>
      </c>
      <c r="J8" s="161">
        <f>IF($C8&gt;0,IF(OR('Caratteristiche componente'!$C8="intercapedine",'Caratteristiche componente'!$C8="aria",'Caratteristiche componente'!$C8="intercapedine d'aria"),0.01,$C8/100*$E8),0)</f>
        <v>0</v>
      </c>
      <c r="K8" s="85">
        <f t="shared" si="3"/>
        <v>0.1363636364</v>
      </c>
      <c r="L8" s="85">
        <f t="shared" si="4"/>
        <v>7.333333333</v>
      </c>
      <c r="M8" s="162">
        <f t="shared" si="5"/>
        <v>0</v>
      </c>
      <c r="N8" s="18"/>
      <c r="O8" s="163">
        <f>$M8*($K$22+$K$16+$K$15+$K$14+$K$13+$K$12+$K$11+$K$10+$K$9+$K8/2)</f>
        <v>0</v>
      </c>
      <c r="P8" s="162">
        <f>$M8*($K$21+$K$7+$K8/2)</f>
        <v>0</v>
      </c>
      <c r="Q8" s="18"/>
      <c r="R8" s="164" t="str">
        <f t="shared" si="6"/>
        <v>#DIV/0!</v>
      </c>
      <c r="S8" s="165" t="str">
        <f t="shared" si="7"/>
        <v>#DIV/0!</v>
      </c>
      <c r="T8" s="165" t="str">
        <f t="shared" si="8"/>
        <v>#DIV/0!</v>
      </c>
      <c r="U8" s="165" t="str">
        <f t="shared" si="9"/>
        <v>#DIV/0!</v>
      </c>
      <c r="V8" s="165" t="str">
        <f t="shared" si="10"/>
        <v>#DIV/0!</v>
      </c>
      <c r="W8" s="166" t="str">
        <f t="shared" si="11"/>
        <v>#DIV/0!</v>
      </c>
      <c r="X8" s="164" t="str">
        <f t="shared" si="12"/>
        <v>#DIV/0!</v>
      </c>
      <c r="Y8" s="165" t="str">
        <f t="shared" si="13"/>
        <v>#DIV/0!</v>
      </c>
      <c r="Z8" s="165" t="str">
        <f t="shared" si="14"/>
        <v>#DIV/0!</v>
      </c>
      <c r="AA8" s="167" t="str">
        <f t="shared" si="15"/>
        <v>#DIV/0!</v>
      </c>
      <c r="AB8" s="168" t="str">
        <f t="shared" si="16"/>
        <v>#DIV/0!</v>
      </c>
      <c r="AC8" s="164" t="str">
        <f t="shared" si="17"/>
        <v>#DIV/0!</v>
      </c>
      <c r="AD8" s="165" t="str">
        <f t="shared" si="18"/>
        <v>#DIV/0!</v>
      </c>
      <c r="AE8" s="165" t="str">
        <f t="shared" si="19"/>
        <v>#DIV/0!</v>
      </c>
      <c r="AF8" s="167" t="str">
        <f t="shared" si="20"/>
        <v>#DIV/0!</v>
      </c>
      <c r="AG8" s="168" t="str">
        <f t="shared" si="21"/>
        <v>#DIV/0!</v>
      </c>
      <c r="AH8" s="164" t="str">
        <f t="shared" si="22"/>
        <v>#DIV/0!</v>
      </c>
      <c r="AI8" s="165" t="str">
        <f t="shared" si="23"/>
        <v>#DIV/0!</v>
      </c>
      <c r="AJ8" s="165" t="str">
        <f t="shared" si="24"/>
        <v>#DIV/0!</v>
      </c>
      <c r="AK8" s="167" t="str">
        <f t="shared" si="25"/>
        <v>#DIV/0!</v>
      </c>
      <c r="AL8" s="168" t="str">
        <f t="shared" si="26"/>
        <v>#DIV/0!</v>
      </c>
      <c r="AM8" s="169" t="str">
        <f t="shared" si="27"/>
        <v>#DIV/0!</v>
      </c>
      <c r="AN8" s="165" t="str">
        <f t="shared" si="28"/>
        <v>#DIV/0!</v>
      </c>
      <c r="AO8" s="165" t="str">
        <f t="shared" si="29"/>
        <v>#DIV/0!</v>
      </c>
      <c r="AP8" s="167" t="str">
        <f t="shared" si="30"/>
        <v>#DIV/0!</v>
      </c>
      <c r="AQ8" s="168" t="str">
        <f t="shared" si="31"/>
        <v>#DIV/0!</v>
      </c>
      <c r="AR8" s="18"/>
      <c r="AS8" s="18"/>
      <c r="AT8" s="18"/>
      <c r="AU8" s="18"/>
      <c r="AV8" s="18"/>
      <c r="AW8" s="18"/>
      <c r="AX8" s="18"/>
      <c r="AY8" s="18"/>
      <c r="AZ8" s="18"/>
      <c r="BA8" s="18"/>
      <c r="BB8" s="18"/>
      <c r="BC8" s="18"/>
      <c r="BD8" s="18"/>
      <c r="BE8" s="18"/>
      <c r="BF8" s="18"/>
      <c r="BG8" s="18"/>
      <c r="BH8" s="18"/>
    </row>
    <row r="9" ht="12.0" customHeight="1">
      <c r="A9" s="71" t="str">
        <f>ROMAN(3)</f>
        <v>III</v>
      </c>
      <c r="B9" s="72" t="str">
        <f>IF('Caratteristiche componente'!C9&lt;&gt;"",'Caratteristiche componente'!C9,"")</f>
        <v>solaio</v>
      </c>
      <c r="C9" s="158">
        <f>'Caratteristiche componente'!D9</f>
        <v>26</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0.6842105263</v>
      </c>
      <c r="H9" s="159" t="str">
        <f t="shared" si="1"/>
        <v>#DIV/0!</v>
      </c>
      <c r="I9" s="160">
        <f t="shared" si="2"/>
        <v>0</v>
      </c>
      <c r="J9" s="161">
        <f>IF($C9&gt;0,IF(OR('Caratteristiche componente'!$C9="intercapedine",'Caratteristiche componente'!$C9="aria",'Caratteristiche componente'!$C9="intercapedine d'aria"),0.01,$C9/100*$E9),0)</f>
        <v>0</v>
      </c>
      <c r="K9" s="85">
        <f t="shared" si="3"/>
        <v>0.38</v>
      </c>
      <c r="L9" s="85">
        <f t="shared" si="4"/>
        <v>2.631578947</v>
      </c>
      <c r="M9" s="162">
        <f t="shared" si="5"/>
        <v>0</v>
      </c>
      <c r="N9" s="18"/>
      <c r="O9" s="163">
        <f>$M9*($K$22+$K$16+$K$15+$K$14+$K$13+$K$12+$K$11+$K$10+$K9/2)</f>
        <v>0</v>
      </c>
      <c r="P9" s="162">
        <f>$M9*($K$21+$K$7+$K$8+$K9/2)</f>
        <v>0</v>
      </c>
      <c r="Q9" s="18"/>
      <c r="R9" s="164" t="str">
        <f t="shared" si="6"/>
        <v>#DIV/0!</v>
      </c>
      <c r="S9" s="165" t="str">
        <f t="shared" si="7"/>
        <v>#DIV/0!</v>
      </c>
      <c r="T9" s="165" t="str">
        <f t="shared" si="8"/>
        <v>#DIV/0!</v>
      </c>
      <c r="U9" s="165" t="str">
        <f t="shared" si="9"/>
        <v>#DIV/0!</v>
      </c>
      <c r="V9" s="165" t="str">
        <f t="shared" si="10"/>
        <v>#DIV/0!</v>
      </c>
      <c r="W9" s="166" t="str">
        <f t="shared" si="11"/>
        <v>#DIV/0!</v>
      </c>
      <c r="X9" s="164" t="str">
        <f t="shared" si="12"/>
        <v>#DIV/0!</v>
      </c>
      <c r="Y9" s="165" t="str">
        <f t="shared" si="13"/>
        <v>#DIV/0!</v>
      </c>
      <c r="Z9" s="165" t="str">
        <f t="shared" si="14"/>
        <v>#DIV/0!</v>
      </c>
      <c r="AA9" s="167" t="str">
        <f t="shared" si="15"/>
        <v>#DIV/0!</v>
      </c>
      <c r="AB9" s="168" t="str">
        <f t="shared" si="16"/>
        <v>#DIV/0!</v>
      </c>
      <c r="AC9" s="164" t="str">
        <f t="shared" si="17"/>
        <v>#DIV/0!</v>
      </c>
      <c r="AD9" s="165" t="str">
        <f t="shared" si="18"/>
        <v>#DIV/0!</v>
      </c>
      <c r="AE9" s="165" t="str">
        <f t="shared" si="19"/>
        <v>#DIV/0!</v>
      </c>
      <c r="AF9" s="167" t="str">
        <f t="shared" si="20"/>
        <v>#DIV/0!</v>
      </c>
      <c r="AG9" s="168" t="str">
        <f t="shared" si="21"/>
        <v>#DIV/0!</v>
      </c>
      <c r="AH9" s="164" t="str">
        <f t="shared" si="22"/>
        <v>#DIV/0!</v>
      </c>
      <c r="AI9" s="165" t="str">
        <f t="shared" si="23"/>
        <v>#DIV/0!</v>
      </c>
      <c r="AJ9" s="165" t="str">
        <f t="shared" si="24"/>
        <v>#DIV/0!</v>
      </c>
      <c r="AK9" s="167" t="str">
        <f t="shared" si="25"/>
        <v>#DIV/0!</v>
      </c>
      <c r="AL9" s="168" t="str">
        <f t="shared" si="26"/>
        <v>#DIV/0!</v>
      </c>
      <c r="AM9" s="169" t="str">
        <f t="shared" si="27"/>
        <v>#DIV/0!</v>
      </c>
      <c r="AN9" s="165" t="str">
        <f t="shared" si="28"/>
        <v>#DIV/0!</v>
      </c>
      <c r="AO9" s="165" t="str">
        <f t="shared" si="29"/>
        <v>#DIV/0!</v>
      </c>
      <c r="AP9" s="167" t="str">
        <f t="shared" si="30"/>
        <v>#DIV/0!</v>
      </c>
      <c r="AQ9" s="168" t="str">
        <f t="shared" si="31"/>
        <v>#DIV/0!</v>
      </c>
      <c r="AR9" s="18"/>
      <c r="AS9" s="18"/>
      <c r="AT9" s="18"/>
      <c r="AU9" s="18"/>
      <c r="AV9" s="18"/>
      <c r="AW9" s="18"/>
      <c r="AX9" s="18"/>
      <c r="AY9" s="18"/>
      <c r="AZ9" s="18"/>
      <c r="BA9" s="18"/>
      <c r="BB9" s="18"/>
      <c r="BC9" s="18"/>
      <c r="BD9" s="18"/>
      <c r="BE9" s="18"/>
      <c r="BF9" s="18"/>
      <c r="BG9" s="18"/>
      <c r="BH9" s="18"/>
    </row>
    <row r="10" ht="12.0" customHeight="1">
      <c r="A10" s="71" t="str">
        <f>ROMAN(4)</f>
        <v>IV</v>
      </c>
      <c r="B10" s="72" t="str">
        <f>IF('Caratteristiche componente'!C10&lt;&gt;"",'Caratteristiche componente'!C10,"")</f>
        <v>intonaco</v>
      </c>
      <c r="C10" s="158">
        <f>'Caratteristiche componente'!D10</f>
        <v>2</v>
      </c>
      <c r="D10" s="74" t="str">
        <f>IF('Caratteristiche componente'!E10&lt;&gt;"",'Caratteristiche componente'!E10,"")</f>
        <v/>
      </c>
      <c r="E10" s="74" t="str">
        <f>IF('Caratteristiche componente'!F10&lt;&gt;"",'Caratteristiche componente'!F10,"")</f>
        <v/>
      </c>
      <c r="F10" s="76" t="str">
        <f>IF('Caratteristiche componente'!G10&lt;&gt;"",'Caratteristiche componente'!G10,"")</f>
        <v/>
      </c>
      <c r="G10" s="77">
        <f>IF('Caratteristiche componente'!H10&lt;&gt;"",'Caratteristiche componente'!H10,IF('Caratteristiche componente'!I10&lt;&gt;"",C10/100/'Caratteristiche componente'!I10,""))</f>
        <v>0.9</v>
      </c>
      <c r="H10" s="159" t="str">
        <f t="shared" si="1"/>
        <v>#DIV/0!</v>
      </c>
      <c r="I10" s="160">
        <f t="shared" si="2"/>
        <v>0</v>
      </c>
      <c r="J10" s="161">
        <f>IF($C10&gt;0,IF(OR('Caratteristiche componente'!$C10="intercapedine",'Caratteristiche componente'!$C10="aria",'Caratteristiche componente'!$C10="intercapedine d'aria"),0.01,$C10/100*$E10),0)</f>
        <v>0</v>
      </c>
      <c r="K10" s="85">
        <f t="shared" si="3"/>
        <v>0.02222222222</v>
      </c>
      <c r="L10" s="85">
        <f t="shared" si="4"/>
        <v>45</v>
      </c>
      <c r="M10" s="162">
        <f t="shared" si="5"/>
        <v>0</v>
      </c>
      <c r="N10" s="18"/>
      <c r="O10" s="163">
        <f>$M10*($K$22+$K$16+$K$15+$K$14+$K$13+$K$12+$K$11+$K10/2)</f>
        <v>0</v>
      </c>
      <c r="P10" s="162">
        <f>$M10*($K$21+$K$7+$K$8+$K$9+$K10/2)</f>
        <v>0</v>
      </c>
      <c r="Q10" s="18"/>
      <c r="R10" s="164" t="str">
        <f t="shared" si="6"/>
        <v>#DIV/0!</v>
      </c>
      <c r="S10" s="165" t="str">
        <f t="shared" si="7"/>
        <v>#DIV/0!</v>
      </c>
      <c r="T10" s="165" t="str">
        <f t="shared" si="8"/>
        <v>#DIV/0!</v>
      </c>
      <c r="U10" s="165" t="str">
        <f t="shared" si="9"/>
        <v>#DIV/0!</v>
      </c>
      <c r="V10" s="165" t="str">
        <f t="shared" si="10"/>
        <v>#DIV/0!</v>
      </c>
      <c r="W10" s="166" t="str">
        <f t="shared" si="11"/>
        <v>#DIV/0!</v>
      </c>
      <c r="X10" s="164" t="str">
        <f t="shared" si="12"/>
        <v>#DIV/0!</v>
      </c>
      <c r="Y10" s="165" t="str">
        <f t="shared" si="13"/>
        <v>#DIV/0!</v>
      </c>
      <c r="Z10" s="165" t="str">
        <f t="shared" si="14"/>
        <v>#DIV/0!</v>
      </c>
      <c r="AA10" s="167" t="str">
        <f t="shared" si="15"/>
        <v>#DIV/0!</v>
      </c>
      <c r="AB10" s="168" t="str">
        <f t="shared" si="16"/>
        <v>#DIV/0!</v>
      </c>
      <c r="AC10" s="164" t="str">
        <f t="shared" si="17"/>
        <v>#DIV/0!</v>
      </c>
      <c r="AD10" s="165" t="str">
        <f t="shared" si="18"/>
        <v>#DIV/0!</v>
      </c>
      <c r="AE10" s="165" t="str">
        <f t="shared" si="19"/>
        <v>#DIV/0!</v>
      </c>
      <c r="AF10" s="167" t="str">
        <f t="shared" si="20"/>
        <v>#DIV/0!</v>
      </c>
      <c r="AG10" s="168" t="str">
        <f t="shared" si="21"/>
        <v>#DIV/0!</v>
      </c>
      <c r="AH10" s="164" t="str">
        <f t="shared" si="22"/>
        <v>#DIV/0!</v>
      </c>
      <c r="AI10" s="165" t="str">
        <f t="shared" si="23"/>
        <v>#DIV/0!</v>
      </c>
      <c r="AJ10" s="165" t="str">
        <f t="shared" si="24"/>
        <v>#DIV/0!</v>
      </c>
      <c r="AK10" s="167" t="str">
        <f t="shared" si="25"/>
        <v>#DIV/0!</v>
      </c>
      <c r="AL10" s="168" t="str">
        <f t="shared" si="26"/>
        <v>#DIV/0!</v>
      </c>
      <c r="AM10" s="169" t="str">
        <f t="shared" si="27"/>
        <v>#DIV/0!</v>
      </c>
      <c r="AN10" s="165" t="str">
        <f t="shared" si="28"/>
        <v>#DIV/0!</v>
      </c>
      <c r="AO10" s="165" t="str">
        <f t="shared" si="29"/>
        <v>#DIV/0!</v>
      </c>
      <c r="AP10" s="167" t="str">
        <f t="shared" si="30"/>
        <v>#DIV/0!</v>
      </c>
      <c r="AQ10" s="168" t="str">
        <f t="shared" si="31"/>
        <v>#DIV/0!</v>
      </c>
      <c r="AR10" s="18"/>
      <c r="AS10" s="18"/>
      <c r="AT10" s="18"/>
      <c r="AU10" s="18"/>
      <c r="AV10" s="18"/>
      <c r="AW10" s="18"/>
      <c r="AX10" s="18"/>
      <c r="AY10" s="18"/>
      <c r="AZ10" s="18"/>
      <c r="BA10" s="18"/>
      <c r="BB10" s="18"/>
      <c r="BC10" s="18"/>
      <c r="BD10" s="18"/>
      <c r="BE10" s="18"/>
      <c r="BF10" s="18"/>
      <c r="BG10" s="18"/>
      <c r="BH10" s="18"/>
    </row>
    <row r="11" ht="12.0" customHeight="1">
      <c r="A11" s="71" t="str">
        <f>ROMAN(5)</f>
        <v>V</v>
      </c>
      <c r="B11" s="170" t="str">
        <f>IF('Caratteristiche componente'!C11&lt;&gt;"",'Caratteristiche componente'!C11,"")</f>
        <v/>
      </c>
      <c r="C11" s="158"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9" t="str">
        <f t="shared" si="1"/>
        <v/>
      </c>
      <c r="I11" s="160">
        <f t="shared" si="2"/>
        <v>0</v>
      </c>
      <c r="J11" s="161">
        <f>IF($C11&gt;0,IF(OR('Caratteristiche componente'!$C11="intercapedine",'Caratteristiche componente'!$C11="aria",'Caratteristiche componente'!$C11="intercapedine d'aria"),0.01,$C11/100*$E11),0)</f>
        <v>0</v>
      </c>
      <c r="K11" s="85">
        <f t="shared" si="3"/>
        <v>0</v>
      </c>
      <c r="L11" s="85" t="str">
        <f t="shared" si="4"/>
        <v/>
      </c>
      <c r="M11" s="162">
        <f t="shared" si="5"/>
        <v>0</v>
      </c>
      <c r="N11" s="18"/>
      <c r="O11" s="163">
        <f>$M11*($K$22+$K$16+$K$15+$K$14+$K$13+$K$12+$K11/2)</f>
        <v>0</v>
      </c>
      <c r="P11" s="162">
        <f>$M11*($K$21+$K$7+$K$8+$K$9+$K$10+$K11/2)</f>
        <v>0</v>
      </c>
      <c r="Q11" s="18"/>
      <c r="R11" s="164">
        <f t="shared" si="6"/>
        <v>0</v>
      </c>
      <c r="S11" s="165">
        <f t="shared" si="7"/>
        <v>0</v>
      </c>
      <c r="T11" s="165">
        <f t="shared" si="8"/>
        <v>1</v>
      </c>
      <c r="U11" s="165">
        <f t="shared" si="9"/>
        <v>0</v>
      </c>
      <c r="V11" s="165">
        <f t="shared" si="10"/>
        <v>0</v>
      </c>
      <c r="W11" s="166">
        <f t="shared" si="11"/>
        <v>0</v>
      </c>
      <c r="X11" s="164">
        <f t="shared" si="12"/>
        <v>1</v>
      </c>
      <c r="Y11" s="165">
        <f t="shared" si="13"/>
        <v>0</v>
      </c>
      <c r="Z11" s="165">
        <f t="shared" si="14"/>
        <v>1</v>
      </c>
      <c r="AA11" s="167">
        <f t="shared" si="15"/>
        <v>0</v>
      </c>
      <c r="AB11" s="168">
        <f t="shared" si="16"/>
        <v>0</v>
      </c>
      <c r="AC11" s="164">
        <f t="shared" si="17"/>
        <v>0</v>
      </c>
      <c r="AD11" s="165">
        <f t="shared" si="18"/>
        <v>0</v>
      </c>
      <c r="AE11" s="165">
        <f t="shared" si="19"/>
        <v>0</v>
      </c>
      <c r="AF11" s="167">
        <f t="shared" si="20"/>
        <v>0</v>
      </c>
      <c r="AG11" s="168">
        <f t="shared" si="21"/>
        <v>0</v>
      </c>
      <c r="AH11" s="164">
        <f t="shared" si="22"/>
        <v>0</v>
      </c>
      <c r="AI11" s="165">
        <f t="shared" si="23"/>
        <v>0</v>
      </c>
      <c r="AJ11" s="165">
        <f t="shared" si="24"/>
        <v>0</v>
      </c>
      <c r="AK11" s="167">
        <f t="shared" si="25"/>
        <v>0</v>
      </c>
      <c r="AL11" s="168">
        <f t="shared" si="26"/>
        <v>0</v>
      </c>
      <c r="AM11" s="169">
        <f t="shared" si="27"/>
        <v>1</v>
      </c>
      <c r="AN11" s="165">
        <f t="shared" si="28"/>
        <v>0</v>
      </c>
      <c r="AO11" s="165">
        <f t="shared" si="29"/>
        <v>1</v>
      </c>
      <c r="AP11" s="167">
        <f t="shared" si="30"/>
        <v>0</v>
      </c>
      <c r="AQ11" s="168">
        <f t="shared" si="31"/>
        <v>0</v>
      </c>
      <c r="AR11" s="18"/>
      <c r="AS11" s="18"/>
      <c r="AT11" s="18"/>
      <c r="AU11" s="18"/>
      <c r="AV11" s="18"/>
      <c r="AW11" s="18"/>
      <c r="AX11" s="18"/>
      <c r="AY11" s="18"/>
      <c r="AZ11" s="18"/>
      <c r="BA11" s="18"/>
      <c r="BB11" s="18"/>
      <c r="BC11" s="18"/>
      <c r="BD11" s="18"/>
      <c r="BE11" s="18"/>
      <c r="BF11" s="18"/>
      <c r="BG11" s="18"/>
      <c r="BH11" s="18"/>
    </row>
    <row r="12" ht="12.0" customHeight="1">
      <c r="A12" s="71" t="str">
        <f>ROMAN(6)</f>
        <v>VI</v>
      </c>
      <c r="B12" s="170"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85">
        <f t="shared" si="3"/>
        <v>0</v>
      </c>
      <c r="L12" s="85"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0" customHeight="1">
      <c r="A13" s="71" t="str">
        <f>ROMAN(7)</f>
        <v>VII</v>
      </c>
      <c r="B13" s="170"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85">
        <f t="shared" si="3"/>
        <v>0</v>
      </c>
      <c r="L13" s="85"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0" customHeight="1">
      <c r="A14" s="71" t="str">
        <f>ROMAN(8)</f>
        <v>VIII</v>
      </c>
      <c r="B14" s="170"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85">
        <f t="shared" si="3"/>
        <v>0</v>
      </c>
      <c r="L14" s="85"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0" customHeight="1">
      <c r="A15" s="71" t="str">
        <f>ROMAN(9)</f>
        <v>IX</v>
      </c>
      <c r="B15" s="170"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85">
        <f t="shared" si="3"/>
        <v>0</v>
      </c>
      <c r="L15" s="85"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2.7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2.75" customHeight="1">
      <c r="A17" s="188" t="s">
        <v>111</v>
      </c>
      <c r="B17" s="189"/>
      <c r="C17" s="190">
        <f>SUM(C$7:C$16)</f>
        <v>35</v>
      </c>
      <c r="D17" s="189"/>
      <c r="E17" s="191"/>
      <c r="F17" s="191"/>
      <c r="G17" s="191"/>
      <c r="H17" s="192"/>
      <c r="I17" s="193">
        <f t="shared" ref="I17:K17" si="32">SUM(I$7:I$16)</f>
        <v>0</v>
      </c>
      <c r="J17" s="194">
        <f t="shared" si="32"/>
        <v>0</v>
      </c>
      <c r="K17" s="194">
        <f t="shared" si="32"/>
        <v>0.5485858586</v>
      </c>
      <c r="L17" s="195">
        <f t="shared" si="4"/>
        <v>1.822868717</v>
      </c>
      <c r="M17" s="196">
        <f>SUM(M$7:M$16)</f>
        <v>0</v>
      </c>
      <c r="N17" s="18"/>
      <c r="O17" s="197">
        <f t="shared" ref="O17:P17" si="33">SUM(O$7:O$16)</f>
        <v>0</v>
      </c>
      <c r="P17" s="198">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112</v>
      </c>
      <c r="Y18" s="121"/>
      <c r="Z18" s="121"/>
      <c r="AA18" s="121"/>
      <c r="AB18" s="122"/>
      <c r="AC18" s="24" t="s">
        <v>113</v>
      </c>
      <c r="AD18" s="121"/>
      <c r="AE18" s="121"/>
      <c r="AF18" s="121"/>
      <c r="AG18" s="122"/>
      <c r="AH18" s="24" t="s">
        <v>114</v>
      </c>
      <c r="AI18" s="121"/>
      <c r="AJ18" s="121"/>
      <c r="AK18" s="121"/>
      <c r="AL18" s="122"/>
      <c r="AM18" s="125" t="s">
        <v>115</v>
      </c>
      <c r="AN18" s="121"/>
      <c r="AO18" s="121"/>
      <c r="AP18" s="121"/>
      <c r="AQ18" s="122"/>
      <c r="AR18" s="18"/>
      <c r="AS18" s="18"/>
      <c r="AT18" s="18"/>
      <c r="AU18" s="18"/>
      <c r="AV18" s="18"/>
      <c r="AW18" s="18"/>
      <c r="AX18" s="18"/>
      <c r="AY18" s="18"/>
      <c r="AZ18" s="18"/>
      <c r="BA18" s="18"/>
      <c r="BB18" s="18"/>
      <c r="BC18" s="18"/>
      <c r="BD18" s="18"/>
      <c r="BE18" s="18"/>
      <c r="BF18" s="18"/>
      <c r="BG18" s="18"/>
      <c r="BH18" s="18"/>
    </row>
    <row r="19" ht="15.0" customHeight="1">
      <c r="A19" s="18"/>
      <c r="B19" s="199"/>
      <c r="C19" s="18"/>
      <c r="D19" s="18"/>
      <c r="E19" s="18"/>
      <c r="F19" s="18"/>
      <c r="G19" s="18"/>
      <c r="H19" s="18"/>
      <c r="I19" s="18"/>
      <c r="J19" s="18"/>
      <c r="K19" s="200" t="s">
        <v>116</v>
      </c>
      <c r="L19" s="201" t="s">
        <v>117</v>
      </c>
      <c r="M19" s="18"/>
      <c r="N19" s="18"/>
      <c r="O19" s="18"/>
      <c r="P19" s="18"/>
      <c r="Q19" s="18"/>
      <c r="R19" s="18"/>
      <c r="S19" s="18"/>
      <c r="T19" s="18"/>
      <c r="U19" s="18"/>
      <c r="V19" s="18"/>
      <c r="W19" s="18"/>
      <c r="X19" s="71" t="s">
        <v>91</v>
      </c>
      <c r="Y19" s="33" t="s">
        <v>92</v>
      </c>
      <c r="Z19" s="33" t="s">
        <v>93</v>
      </c>
      <c r="AA19" s="33" t="s">
        <v>94</v>
      </c>
      <c r="AB19" s="132" t="s">
        <v>94</v>
      </c>
      <c r="AC19" s="71" t="s">
        <v>91</v>
      </c>
      <c r="AD19" s="33" t="s">
        <v>92</v>
      </c>
      <c r="AE19" s="33" t="s">
        <v>93</v>
      </c>
      <c r="AF19" s="33" t="s">
        <v>94</v>
      </c>
      <c r="AG19" s="132" t="s">
        <v>94</v>
      </c>
      <c r="AH19" s="71" t="s">
        <v>91</v>
      </c>
      <c r="AI19" s="33" t="s">
        <v>92</v>
      </c>
      <c r="AJ19" s="33" t="s">
        <v>93</v>
      </c>
      <c r="AK19" s="33" t="s">
        <v>94</v>
      </c>
      <c r="AL19" s="132" t="s">
        <v>94</v>
      </c>
      <c r="AM19" s="133" t="s">
        <v>91</v>
      </c>
      <c r="AN19" s="33" t="s">
        <v>92</v>
      </c>
      <c r="AO19" s="33" t="s">
        <v>93</v>
      </c>
      <c r="AP19" s="33" t="s">
        <v>94</v>
      </c>
      <c r="AQ19" s="132" t="s">
        <v>94</v>
      </c>
      <c r="AR19" s="18"/>
      <c r="AS19" s="18"/>
      <c r="AT19" s="18"/>
      <c r="AU19" s="18"/>
      <c r="AV19" s="18"/>
      <c r="AW19" s="18"/>
      <c r="AX19" s="18"/>
      <c r="AY19" s="18"/>
      <c r="AZ19" s="18"/>
      <c r="BA19" s="18"/>
      <c r="BB19" s="18"/>
      <c r="BC19" s="18"/>
      <c r="BD19" s="18"/>
      <c r="BE19" s="18"/>
      <c r="BF19" s="18"/>
      <c r="BG19" s="18"/>
      <c r="BH19" s="18"/>
    </row>
    <row r="20" ht="15.0" customHeight="1">
      <c r="A20" s="18"/>
      <c r="B20" s="18"/>
      <c r="C20" s="202"/>
      <c r="D20" s="202"/>
      <c r="E20" s="202"/>
      <c r="F20" s="202"/>
      <c r="G20" s="202"/>
      <c r="H20" s="202"/>
      <c r="I20" s="202"/>
      <c r="J20" s="202"/>
      <c r="K20" s="37" t="s">
        <v>118</v>
      </c>
      <c r="L20" s="139" t="s">
        <v>119</v>
      </c>
      <c r="M20" s="18"/>
      <c r="N20" s="18"/>
      <c r="O20" s="18"/>
      <c r="P20" s="18"/>
      <c r="Q20" s="18"/>
      <c r="R20" s="18"/>
      <c r="S20" s="18"/>
      <c r="T20" s="18"/>
      <c r="U20" s="18"/>
      <c r="V20" s="18"/>
      <c r="W20" s="18"/>
      <c r="X20" s="37" t="s">
        <v>25</v>
      </c>
      <c r="Y20" s="138" t="s">
        <v>25</v>
      </c>
      <c r="Z20" s="138" t="s">
        <v>25</v>
      </c>
      <c r="AA20" s="138" t="s">
        <v>103</v>
      </c>
      <c r="AB20" s="139" t="s">
        <v>104</v>
      </c>
      <c r="AC20" s="37" t="s">
        <v>120</v>
      </c>
      <c r="AD20" s="138" t="s">
        <v>121</v>
      </c>
      <c r="AE20" s="138" t="s">
        <v>122</v>
      </c>
      <c r="AF20" s="138" t="s">
        <v>103</v>
      </c>
      <c r="AG20" s="139" t="s">
        <v>104</v>
      </c>
      <c r="AH20" s="37" t="s">
        <v>123</v>
      </c>
      <c r="AI20" s="138" t="s">
        <v>124</v>
      </c>
      <c r="AJ20" s="138" t="s">
        <v>125</v>
      </c>
      <c r="AK20" s="138" t="s">
        <v>103</v>
      </c>
      <c r="AL20" s="139" t="s">
        <v>104</v>
      </c>
      <c r="AM20" s="140" t="s">
        <v>25</v>
      </c>
      <c r="AN20" s="138" t="s">
        <v>25</v>
      </c>
      <c r="AO20" s="138" t="s">
        <v>25</v>
      </c>
      <c r="AP20" s="39" t="s">
        <v>103</v>
      </c>
      <c r="AQ20" s="139" t="s">
        <v>104</v>
      </c>
      <c r="AR20" s="18"/>
      <c r="AS20" s="18"/>
      <c r="AT20" s="18"/>
      <c r="AU20" s="18"/>
      <c r="AV20" s="18"/>
      <c r="AW20" s="18"/>
      <c r="AX20" s="18"/>
      <c r="AY20" s="18"/>
      <c r="AZ20" s="18"/>
      <c r="BA20" s="18"/>
      <c r="BB20" s="18"/>
      <c r="BC20" s="18"/>
      <c r="BD20" s="18"/>
      <c r="BE20" s="18"/>
      <c r="BF20" s="18"/>
      <c r="BG20" s="18"/>
      <c r="BH20" s="18"/>
    </row>
    <row r="21" ht="12.0" customHeight="1">
      <c r="A21" s="203" t="s">
        <v>34</v>
      </c>
      <c r="B21" s="204"/>
      <c r="C21" s="205"/>
      <c r="D21" s="206"/>
      <c r="E21" s="206"/>
      <c r="F21" s="206"/>
      <c r="G21" s="206"/>
      <c r="H21" s="206"/>
      <c r="I21" s="206"/>
      <c r="J21" s="207"/>
      <c r="K21" s="208">
        <f>'Caratteristiche componente'!$I$6</f>
        <v>0.17</v>
      </c>
      <c r="L21" s="156">
        <f t="shared" ref="L21:L22" si="34">1/K21</f>
        <v>5.882352941</v>
      </c>
      <c r="M21" s="18"/>
      <c r="N21" s="18"/>
      <c r="O21" s="18"/>
      <c r="P21" s="18"/>
      <c r="Q21" s="18"/>
      <c r="R21" s="18"/>
      <c r="S21" s="18"/>
      <c r="T21" s="18"/>
      <c r="U21" s="18"/>
      <c r="V21" s="203" t="s">
        <v>34</v>
      </c>
      <c r="W21" s="204"/>
      <c r="X21" s="152">
        <v>1.0</v>
      </c>
      <c r="Y21" s="153">
        <v>0.0</v>
      </c>
      <c r="Z21" s="153">
        <f t="shared" ref="Z21:Z22" si="35">SQRT(X21^2+Y21^2)</f>
        <v>1</v>
      </c>
      <c r="AA21" s="155">
        <f t="shared" ref="AA21:AA22" si="36">DEGREES(IF(Y21&lt;&gt;0,ATAN2(X21,Y21),0))</f>
        <v>0</v>
      </c>
      <c r="AB21" s="156">
        <f t="shared" ref="AB21:AB22" si="37">AA21*$R$26/360</f>
        <v>0</v>
      </c>
      <c r="AC21" s="152">
        <f t="shared" ref="AC21:AC22" si="38">-$K21</f>
        <v>-0.17</v>
      </c>
      <c r="AD21" s="153">
        <v>0.0</v>
      </c>
      <c r="AE21" s="153">
        <f t="shared" ref="AE21:AE22" si="39">SQRT(AC21^2+AD21^2)</f>
        <v>0.17</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2.75" customHeight="1">
      <c r="A22" s="209" t="s">
        <v>63</v>
      </c>
      <c r="B22" s="210"/>
      <c r="C22" s="211"/>
      <c r="D22" s="212"/>
      <c r="E22" s="212"/>
      <c r="F22" s="212"/>
      <c r="G22" s="212"/>
      <c r="H22" s="212"/>
      <c r="I22" s="212"/>
      <c r="J22" s="213"/>
      <c r="K22" s="214">
        <f>'Caratteristiche componente'!$I$17</f>
        <v>0.04</v>
      </c>
      <c r="L22" s="186">
        <f t="shared" si="34"/>
        <v>25</v>
      </c>
      <c r="M22" s="18"/>
      <c r="N22" s="18"/>
      <c r="O22" s="18"/>
      <c r="P22" s="18"/>
      <c r="Q22" s="18"/>
      <c r="R22" s="18"/>
      <c r="S22" s="18"/>
      <c r="T22" s="18"/>
      <c r="U22" s="18"/>
      <c r="V22" s="209" t="s">
        <v>63</v>
      </c>
      <c r="W22" s="210"/>
      <c r="X22" s="182">
        <v>1.0</v>
      </c>
      <c r="Y22" s="183">
        <v>0.0</v>
      </c>
      <c r="Z22" s="183">
        <f t="shared" si="35"/>
        <v>1</v>
      </c>
      <c r="AA22" s="185">
        <f t="shared" si="36"/>
        <v>0</v>
      </c>
      <c r="AB22" s="186">
        <f t="shared" si="37"/>
        <v>0</v>
      </c>
      <c r="AC22" s="182">
        <f t="shared" si="38"/>
        <v>-0.04</v>
      </c>
      <c r="AD22" s="183">
        <v>0.0</v>
      </c>
      <c r="AE22" s="183">
        <f t="shared" si="39"/>
        <v>0.04</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3" t="s">
        <v>18</v>
      </c>
      <c r="L24" s="135" t="s">
        <v>126</v>
      </c>
      <c r="M24" s="18"/>
      <c r="N24" s="123" t="s">
        <v>127</v>
      </c>
      <c r="O24" s="124" t="s">
        <v>128</v>
      </c>
      <c r="P24" s="135" t="s">
        <v>129</v>
      </c>
      <c r="Q24" s="18"/>
      <c r="R24" s="31" t="s">
        <v>130</v>
      </c>
      <c r="S24" s="215" t="s">
        <v>131</v>
      </c>
      <c r="T24" s="18"/>
      <c r="U24" s="18"/>
      <c r="V24" s="18"/>
      <c r="W24" s="18"/>
      <c r="X24" s="24" t="s">
        <v>132</v>
      </c>
      <c r="Y24" s="121"/>
      <c r="Z24" s="121"/>
      <c r="AA24" s="121"/>
      <c r="AB24" s="25"/>
      <c r="AC24" s="24" t="s">
        <v>133</v>
      </c>
      <c r="AD24" s="121"/>
      <c r="AE24" s="121"/>
      <c r="AF24" s="121"/>
      <c r="AG24" s="122"/>
      <c r="AH24" s="24" t="s">
        <v>134</v>
      </c>
      <c r="AI24" s="121"/>
      <c r="AJ24" s="121"/>
      <c r="AK24" s="121"/>
      <c r="AL24" s="122"/>
      <c r="AM24" s="125" t="s">
        <v>135</v>
      </c>
      <c r="AN24" s="121"/>
      <c r="AO24" s="121"/>
      <c r="AP24" s="121"/>
      <c r="AQ24" s="122"/>
      <c r="AR24" s="24" t="s">
        <v>136</v>
      </c>
      <c r="AS24" s="121"/>
      <c r="AT24" s="121"/>
      <c r="AU24" s="121"/>
      <c r="AV24" s="122"/>
      <c r="AW24" s="24" t="s">
        <v>137</v>
      </c>
      <c r="AX24" s="121"/>
      <c r="AY24" s="121"/>
      <c r="AZ24" s="121"/>
      <c r="BA24" s="122"/>
      <c r="BB24" s="24" t="s">
        <v>138</v>
      </c>
      <c r="BC24" s="121"/>
      <c r="BD24" s="121"/>
      <c r="BE24" s="121"/>
      <c r="BF24" s="122"/>
      <c r="BG24" s="18"/>
      <c r="BH24" s="18"/>
    </row>
    <row r="25" ht="15.0" customHeight="1">
      <c r="A25" s="18"/>
      <c r="B25" s="18"/>
      <c r="C25" s="18"/>
      <c r="D25" s="18"/>
      <c r="E25" s="18"/>
      <c r="F25" s="18"/>
      <c r="G25" s="18"/>
      <c r="H25" s="18"/>
      <c r="I25" s="18"/>
      <c r="J25" s="18"/>
      <c r="K25" s="37" t="s">
        <v>139</v>
      </c>
      <c r="L25" s="139" t="s">
        <v>140</v>
      </c>
      <c r="M25" s="18"/>
      <c r="N25" s="37" t="s">
        <v>104</v>
      </c>
      <c r="O25" s="138" t="s">
        <v>104</v>
      </c>
      <c r="P25" s="139" t="s">
        <v>104</v>
      </c>
      <c r="Q25" s="18"/>
      <c r="R25" s="128" t="s">
        <v>104</v>
      </c>
      <c r="S25" s="128" t="s">
        <v>141</v>
      </c>
      <c r="T25" s="18"/>
      <c r="U25" s="18"/>
      <c r="V25" s="18"/>
      <c r="W25" s="18"/>
      <c r="X25" s="71" t="s">
        <v>91</v>
      </c>
      <c r="Y25" s="33" t="s">
        <v>92</v>
      </c>
      <c r="Z25" s="33" t="s">
        <v>93</v>
      </c>
      <c r="AA25" s="33" t="s">
        <v>94</v>
      </c>
      <c r="AB25" s="131" t="s">
        <v>94</v>
      </c>
      <c r="AC25" s="71" t="s">
        <v>91</v>
      </c>
      <c r="AD25" s="33" t="s">
        <v>92</v>
      </c>
      <c r="AE25" s="33" t="s">
        <v>93</v>
      </c>
      <c r="AF25" s="33" t="s">
        <v>94</v>
      </c>
      <c r="AG25" s="132" t="s">
        <v>94</v>
      </c>
      <c r="AH25" s="71" t="s">
        <v>91</v>
      </c>
      <c r="AI25" s="33" t="s">
        <v>92</v>
      </c>
      <c r="AJ25" s="33" t="s">
        <v>93</v>
      </c>
      <c r="AK25" s="33" t="s">
        <v>94</v>
      </c>
      <c r="AL25" s="132" t="s">
        <v>94</v>
      </c>
      <c r="AM25" s="133" t="s">
        <v>91</v>
      </c>
      <c r="AN25" s="33" t="s">
        <v>92</v>
      </c>
      <c r="AO25" s="33" t="s">
        <v>93</v>
      </c>
      <c r="AP25" s="33" t="s">
        <v>94</v>
      </c>
      <c r="AQ25" s="132" t="s">
        <v>94</v>
      </c>
      <c r="AR25" s="71" t="s">
        <v>91</v>
      </c>
      <c r="AS25" s="33" t="s">
        <v>92</v>
      </c>
      <c r="AT25" s="33" t="s">
        <v>93</v>
      </c>
      <c r="AU25" s="33" t="s">
        <v>94</v>
      </c>
      <c r="AV25" s="132" t="s">
        <v>94</v>
      </c>
      <c r="AW25" s="71" t="s">
        <v>91</v>
      </c>
      <c r="AX25" s="33" t="s">
        <v>92</v>
      </c>
      <c r="AY25" s="33" t="s">
        <v>93</v>
      </c>
      <c r="AZ25" s="33" t="s">
        <v>94</v>
      </c>
      <c r="BA25" s="132" t="s">
        <v>94</v>
      </c>
      <c r="BB25" s="71" t="s">
        <v>91</v>
      </c>
      <c r="BC25" s="33" t="s">
        <v>92</v>
      </c>
      <c r="BD25" s="33" t="s">
        <v>93</v>
      </c>
      <c r="BE25" s="33" t="s">
        <v>94</v>
      </c>
      <c r="BF25" s="132" t="s">
        <v>94</v>
      </c>
      <c r="BG25" s="18"/>
      <c r="BH25" s="18"/>
    </row>
    <row r="26" ht="15.0" customHeight="1">
      <c r="A26" s="18"/>
      <c r="B26" s="18"/>
      <c r="C26" s="18"/>
      <c r="D26" s="18"/>
      <c r="E26" s="18"/>
      <c r="F26" s="18"/>
      <c r="G26" s="18"/>
      <c r="H26" s="18"/>
      <c r="I26" s="18"/>
      <c r="J26" s="18"/>
      <c r="K26" s="216">
        <f>$K$17+$K$21+$K$22</f>
        <v>0.7585858586</v>
      </c>
      <c r="L26" s="217">
        <f>1/$K$26</f>
        <v>1.318242344</v>
      </c>
      <c r="M26" s="18"/>
      <c r="N26" s="218">
        <f>M17*K26/3600</f>
        <v>0</v>
      </c>
      <c r="O26" s="219">
        <f>$O$17/3600</f>
        <v>0</v>
      </c>
      <c r="P26" s="220">
        <f>$P$17/3600</f>
        <v>0</v>
      </c>
      <c r="Q26" s="18"/>
      <c r="R26" s="221">
        <v>24.0</v>
      </c>
      <c r="S26" s="222">
        <f>(2*PI())/(R26*3600)</f>
        <v>0.00007272205217</v>
      </c>
      <c r="T26" s="18"/>
      <c r="U26" s="18"/>
      <c r="V26" s="223"/>
      <c r="W26" s="223"/>
      <c r="X26" s="37" t="s">
        <v>25</v>
      </c>
      <c r="Y26" s="138" t="s">
        <v>25</v>
      </c>
      <c r="Z26" s="138" t="s">
        <v>25</v>
      </c>
      <c r="AA26" s="39" t="s">
        <v>103</v>
      </c>
      <c r="AB26" s="39" t="s">
        <v>104</v>
      </c>
      <c r="AC26" s="37" t="s">
        <v>142</v>
      </c>
      <c r="AD26" s="138" t="s">
        <v>143</v>
      </c>
      <c r="AE26" s="138" t="s">
        <v>144</v>
      </c>
      <c r="AF26" s="39" t="s">
        <v>103</v>
      </c>
      <c r="AG26" s="139" t="s">
        <v>104</v>
      </c>
      <c r="AH26" s="37" t="s">
        <v>145</v>
      </c>
      <c r="AI26" s="138" t="s">
        <v>146</v>
      </c>
      <c r="AJ26" s="138" t="s">
        <v>147</v>
      </c>
      <c r="AK26" s="39" t="s">
        <v>103</v>
      </c>
      <c r="AL26" s="139" t="s">
        <v>104</v>
      </c>
      <c r="AM26" s="140" t="s">
        <v>25</v>
      </c>
      <c r="AN26" s="138" t="s">
        <v>25</v>
      </c>
      <c r="AO26" s="138" t="s">
        <v>25</v>
      </c>
      <c r="AP26" s="39" t="s">
        <v>103</v>
      </c>
      <c r="AQ26" s="139" t="s">
        <v>104</v>
      </c>
      <c r="AR26" s="37" t="s">
        <v>148</v>
      </c>
      <c r="AS26" s="138" t="s">
        <v>149</v>
      </c>
      <c r="AT26" s="138" t="s">
        <v>150</v>
      </c>
      <c r="AU26" s="39" t="s">
        <v>103</v>
      </c>
      <c r="AV26" s="139" t="s">
        <v>104</v>
      </c>
      <c r="AW26" s="37" t="s">
        <v>151</v>
      </c>
      <c r="AX26" s="138" t="s">
        <v>152</v>
      </c>
      <c r="AY26" s="138" t="s">
        <v>153</v>
      </c>
      <c r="AZ26" s="39" t="s">
        <v>103</v>
      </c>
      <c r="BA26" s="139" t="s">
        <v>104</v>
      </c>
      <c r="BB26" s="37" t="s">
        <v>154</v>
      </c>
      <c r="BC26" s="138" t="s">
        <v>155</v>
      </c>
      <c r="BD26" s="138" t="s">
        <v>156</v>
      </c>
      <c r="BE26" s="39" t="s">
        <v>103</v>
      </c>
      <c r="BF26" s="139" t="s">
        <v>104</v>
      </c>
      <c r="BG26" s="18"/>
      <c r="BH26" s="18"/>
    </row>
    <row r="27" ht="12.75" customHeight="1">
      <c r="A27" s="18"/>
      <c r="B27" s="18"/>
      <c r="C27" s="18"/>
      <c r="D27" s="18"/>
      <c r="E27" s="18"/>
      <c r="F27" s="18"/>
      <c r="G27" s="18"/>
      <c r="H27" s="18"/>
      <c r="I27" s="18"/>
      <c r="J27" s="18"/>
      <c r="K27" s="18"/>
      <c r="L27" s="18"/>
      <c r="M27" s="18"/>
      <c r="N27" s="18"/>
      <c r="O27" s="18"/>
      <c r="P27" s="18"/>
      <c r="Q27" s="18"/>
      <c r="R27" s="18"/>
      <c r="S27" s="18"/>
      <c r="T27" s="18"/>
      <c r="U27" s="18"/>
      <c r="V27" s="224" t="s">
        <v>157</v>
      </c>
      <c r="W27" s="225"/>
      <c r="X27" s="182" t="str">
        <f>'Calcoli matriciali'!$AP$9</f>
        <v>#DIV/0!</v>
      </c>
      <c r="Y27" s="183" t="str">
        <f>'Calcoli matriciali'!$AQ$9</f>
        <v/>
      </c>
      <c r="Z27" s="183" t="str">
        <f t="shared" ref="Z27:Z28" si="48">SQRT(X27^2+Y27^2)</f>
        <v>#DIV/0!</v>
      </c>
      <c r="AA27" s="185">
        <f t="shared" ref="AA27:AA28" si="49">DEGREES(IF(Y27&lt;&gt;0,ATAN2(X27,Y27),0))</f>
        <v>0</v>
      </c>
      <c r="AB27" s="226">
        <f t="shared" ref="AB27:AB28" si="50">AA27*$R$26/360</f>
        <v>0</v>
      </c>
      <c r="AC27" s="182" t="str">
        <f>'Calcoli matriciali'!$AR$9</f>
        <v/>
      </c>
      <c r="AD27" s="183" t="str">
        <f>'Calcoli matriciali'!$AS$9</f>
        <v/>
      </c>
      <c r="AE27" s="183">
        <f t="shared" ref="AE27:AE28" si="51">SQRT(AC27^2+AD27^2)</f>
        <v>0</v>
      </c>
      <c r="AF27" s="185">
        <f t="shared" ref="AF27:AF28" si="52">DEGREES(IF(AD27&lt;&gt;0,ATAN2(AC27,AD27),0))</f>
        <v>0</v>
      </c>
      <c r="AG27" s="186">
        <f t="shared" ref="AG27:AG28" si="53">AF27*$R$26/360</f>
        <v>0</v>
      </c>
      <c r="AH27" s="182" t="str">
        <f>'Calcoli matriciali'!$AP$11</f>
        <v/>
      </c>
      <c r="AI27" s="183" t="str">
        <f>'Calcoli matriciali'!$AQ$11</f>
        <v/>
      </c>
      <c r="AJ27" s="183">
        <f t="shared" ref="AJ27:AJ28" si="54">SQRT(AH27^2+AI27^2)</f>
        <v>0</v>
      </c>
      <c r="AK27" s="185">
        <f t="shared" ref="AK27:AK28" si="55">DEGREES(IF(AI27&lt;&gt;0,ATAN2(AH27,AI27),0))</f>
        <v>0</v>
      </c>
      <c r="AL27" s="186">
        <f t="shared" ref="AL27:AL28" si="56">AK27*$R$26/360</f>
        <v>0</v>
      </c>
      <c r="AM27" s="187" t="str">
        <f>'Calcoli matriciali'!$AR$11</f>
        <v/>
      </c>
      <c r="AN27" s="183" t="str">
        <f>'Calcoli matriciali'!$AS$11</f>
        <v/>
      </c>
      <c r="AO27" s="183">
        <f t="shared" ref="AO27:AO28" si="57">SQRT(AM27^2+AN27^2)</f>
        <v>0</v>
      </c>
      <c r="AP27" s="93">
        <f t="shared" ref="AP27:AP28" si="58">DEGREES(IF(AN27&lt;&gt;0,ATAN2(AM27,AN27),0))</f>
        <v>0</v>
      </c>
      <c r="AQ27" s="186">
        <f t="shared" ref="AQ27:AQ28" si="59">AP27*$R$26/360</f>
        <v>0</v>
      </c>
      <c r="AR27" s="182" t="str">
        <f t="shared" ref="AR27:AR28" si="60">-($X27*$AC27+$Y27*$AD27)/($AC27^2+$AD27^2)</f>
        <v>#DIV/0!</v>
      </c>
      <c r="AS27" s="183" t="str">
        <f t="shared" ref="AS27:AS28" si="61">-($Y27*$AC27-$X27*$AD27)/($AC27^2+$AD27^2)</f>
        <v>#DIV/0!</v>
      </c>
      <c r="AT27" s="183" t="str">
        <f t="shared" ref="AT27:AT28" si="62">SQRT(AR27^2+AS27^2)</f>
        <v>#DIV/0!</v>
      </c>
      <c r="AU27" s="185" t="str">
        <f t="shared" ref="AU27:AU28" si="63">DEGREES(IF(AS27&lt;&gt;0,ATAN2(AR27,AS27),0))</f>
        <v>#DIV/0!</v>
      </c>
      <c r="AV27" s="186" t="str">
        <f t="shared" ref="AV27:AV28" si="64">AU27*$R$26/360</f>
        <v>#DIV/0!</v>
      </c>
      <c r="AW27" s="182" t="str">
        <f t="shared" ref="AW27:AW28" si="65">-($AM27*$AC27+$AN27*$AD27)/($AC27^2+$AD27^2)</f>
        <v>#DIV/0!</v>
      </c>
      <c r="AX27" s="183" t="str">
        <f t="shared" ref="AX27:AX28" si="66">-($AN27*$AC27-$AM27*$AD27)/($AC27^2+$AD27^2)</f>
        <v>#DIV/0!</v>
      </c>
      <c r="AY27" s="183" t="str">
        <f t="shared" ref="AY27:AY28" si="67">SQRT(AW27^2+AX27^2)</f>
        <v>#DIV/0!</v>
      </c>
      <c r="AZ27" s="185" t="str">
        <f t="shared" ref="AZ27:AZ28" si="68">DEGREES(IF(AX27&lt;&gt;0,ATAN2(AW27,AX27),0))</f>
        <v>#DIV/0!</v>
      </c>
      <c r="BA27" s="186" t="str">
        <f t="shared" ref="BA27:BA28" si="69">AZ27*$R$26/360</f>
        <v>#DIV/0!</v>
      </c>
      <c r="BB27" s="182" t="str">
        <f t="shared" ref="BB27:BB28" si="70">-$AC27/($AC27^2+$AD27^2)</f>
        <v>#DIV/0!</v>
      </c>
      <c r="BC27" s="183" t="str">
        <f t="shared" ref="BC27:BC28" si="71">$AD27/($AC27^2+$AD27^2)</f>
        <v>#DIV/0!</v>
      </c>
      <c r="BD27" s="183" t="str">
        <f t="shared" ref="BD27:BD28" si="72">SQRT(BB27^2+BC27^2)</f>
        <v>#DIV/0!</v>
      </c>
      <c r="BE27" s="185" t="str">
        <f t="shared" ref="BE27:BE28" si="73">DEGREES(IF(BC27&lt;&gt;0,ATAN2(BB27,BC27),0))</f>
        <v>#DIV/0!</v>
      </c>
      <c r="BF27" s="186" t="str">
        <f t="shared" ref="BF27:BF28" si="74">BE27*$R$26/360</f>
        <v>#DIV/0!</v>
      </c>
      <c r="BG27" s="18"/>
      <c r="BH27" s="18"/>
    </row>
    <row r="28" ht="15.75" customHeight="1">
      <c r="A28" s="18"/>
      <c r="B28" s="18"/>
      <c r="C28" s="18"/>
      <c r="D28" s="18"/>
      <c r="E28" s="18"/>
      <c r="F28" s="18"/>
      <c r="G28" s="18"/>
      <c r="H28" s="18"/>
      <c r="I28" s="18"/>
      <c r="J28" s="18"/>
      <c r="K28" s="215" t="s">
        <v>158</v>
      </c>
      <c r="L28" s="31" t="s">
        <v>159</v>
      </c>
      <c r="M28" s="18"/>
      <c r="N28" s="123" t="s">
        <v>160</v>
      </c>
      <c r="O28" s="124" t="s">
        <v>161</v>
      </c>
      <c r="P28" s="135" t="s">
        <v>162</v>
      </c>
      <c r="Q28" s="18"/>
      <c r="R28" s="18"/>
      <c r="S28" s="18"/>
      <c r="T28" s="18"/>
      <c r="U28" s="18"/>
      <c r="V28" s="224" t="s">
        <v>163</v>
      </c>
      <c r="W28" s="227"/>
      <c r="X28" s="182" t="str">
        <f>'Calcoli matriciali'!$F$14</f>
        <v>#DIV/0!</v>
      </c>
      <c r="Y28" s="183" t="str">
        <f>'Calcoli matriciali'!$G$14</f>
        <v/>
      </c>
      <c r="Z28" s="183" t="str">
        <f t="shared" si="48"/>
        <v>#DIV/0!</v>
      </c>
      <c r="AA28" s="185">
        <f t="shared" si="49"/>
        <v>0</v>
      </c>
      <c r="AB28" s="226">
        <f t="shared" si="50"/>
        <v>0</v>
      </c>
      <c r="AC28" s="182" t="str">
        <f>'Calcoli matriciali'!$H$14</f>
        <v/>
      </c>
      <c r="AD28" s="183" t="str">
        <f>'Calcoli matriciali'!$I$14</f>
        <v/>
      </c>
      <c r="AE28" s="183">
        <f t="shared" si="51"/>
        <v>0</v>
      </c>
      <c r="AF28" s="185">
        <f t="shared" si="52"/>
        <v>0</v>
      </c>
      <c r="AG28" s="186">
        <f t="shared" si="53"/>
        <v>0</v>
      </c>
      <c r="AH28" s="182" t="str">
        <f>'Calcoli matriciali'!$F$16</f>
        <v/>
      </c>
      <c r="AI28" s="183" t="str">
        <f>'Calcoli matriciali'!$G$16</f>
        <v/>
      </c>
      <c r="AJ28" s="183">
        <f t="shared" si="54"/>
        <v>0</v>
      </c>
      <c r="AK28" s="185">
        <f t="shared" si="55"/>
        <v>0</v>
      </c>
      <c r="AL28" s="186">
        <f t="shared" si="56"/>
        <v>0</v>
      </c>
      <c r="AM28" s="187" t="str">
        <f>'Calcoli matriciali'!$H$16</f>
        <v/>
      </c>
      <c r="AN28" s="183" t="str">
        <f>'Calcoli matriciali'!$I$16</f>
        <v/>
      </c>
      <c r="AO28" s="183">
        <f t="shared" si="57"/>
        <v>0</v>
      </c>
      <c r="AP28" s="93">
        <f t="shared" si="58"/>
        <v>0</v>
      </c>
      <c r="AQ28" s="186">
        <f t="shared" si="59"/>
        <v>0</v>
      </c>
      <c r="AR28" s="182" t="str">
        <f t="shared" si="60"/>
        <v>#DIV/0!</v>
      </c>
      <c r="AS28" s="183" t="str">
        <f t="shared" si="61"/>
        <v>#DIV/0!</v>
      </c>
      <c r="AT28" s="228" t="str">
        <f t="shared" si="62"/>
        <v>#DIV/0!</v>
      </c>
      <c r="AU28" s="219" t="str">
        <f t="shared" si="63"/>
        <v>#DIV/0!</v>
      </c>
      <c r="AV28" s="229" t="str">
        <f t="shared" si="64"/>
        <v>#DIV/0!</v>
      </c>
      <c r="AW28" s="182" t="str">
        <f t="shared" si="65"/>
        <v>#DIV/0!</v>
      </c>
      <c r="AX28" s="183" t="str">
        <f t="shared" si="66"/>
        <v>#DIV/0!</v>
      </c>
      <c r="AY28" s="228" t="str">
        <f t="shared" si="67"/>
        <v>#DIV/0!</v>
      </c>
      <c r="AZ28" s="219" t="str">
        <f t="shared" si="68"/>
        <v>#DIV/0!</v>
      </c>
      <c r="BA28" s="229" t="str">
        <f t="shared" si="69"/>
        <v>#DIV/0!</v>
      </c>
      <c r="BB28" s="182" t="str">
        <f t="shared" si="70"/>
        <v>#DIV/0!</v>
      </c>
      <c r="BC28" s="183" t="str">
        <f t="shared" si="71"/>
        <v>#DIV/0!</v>
      </c>
      <c r="BD28" s="228" t="str">
        <f t="shared" si="72"/>
        <v>#DIV/0!</v>
      </c>
      <c r="BE28" s="219" t="str">
        <f t="shared" si="73"/>
        <v>#DIV/0!</v>
      </c>
      <c r="BF28" s="229" t="str">
        <f t="shared" si="74"/>
        <v>#DIV/0!</v>
      </c>
      <c r="BG28" s="18"/>
      <c r="BH28" s="18"/>
    </row>
    <row r="29" ht="15.0" customHeight="1">
      <c r="A29" s="18"/>
      <c r="B29" s="18"/>
      <c r="C29" s="18"/>
      <c r="D29" s="18"/>
      <c r="E29" s="18"/>
      <c r="F29" s="18"/>
      <c r="G29" s="18"/>
      <c r="H29" s="18"/>
      <c r="I29" s="18"/>
      <c r="J29" s="18"/>
      <c r="K29" s="40" t="s">
        <v>104</v>
      </c>
      <c r="L29" s="40" t="s">
        <v>164</v>
      </c>
      <c r="M29" s="18"/>
      <c r="N29" s="37" t="s">
        <v>165</v>
      </c>
      <c r="O29" s="138" t="s">
        <v>166</v>
      </c>
      <c r="P29" s="139" t="s">
        <v>167</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30" t="str">
        <f>$BF$28</f>
        <v>#DIV/0!</v>
      </c>
      <c r="L30" s="231" t="str">
        <f>$BD$28</f>
        <v>#DIV/0!</v>
      </c>
      <c r="M30" s="232"/>
      <c r="N30" s="218">
        <f>$M$17/1000</f>
        <v>0</v>
      </c>
      <c r="O30" s="219">
        <f t="shared" ref="O30:P30" si="75">O$17/$K$26/1000</f>
        <v>0</v>
      </c>
      <c r="P30" s="220">
        <f t="shared" si="75"/>
        <v>0</v>
      </c>
      <c r="Q30" s="18"/>
      <c r="R30" s="18"/>
      <c r="S30" s="18"/>
      <c r="T30" s="18"/>
      <c r="U30" s="18"/>
      <c r="V30" s="18"/>
      <c r="W30" s="18"/>
      <c r="X30" s="24" t="s">
        <v>168</v>
      </c>
      <c r="Y30" s="121"/>
      <c r="Z30" s="121"/>
      <c r="AA30" s="121"/>
      <c r="AB30" s="25"/>
      <c r="AC30" s="24" t="s">
        <v>169</v>
      </c>
      <c r="AD30" s="121"/>
      <c r="AE30" s="121"/>
      <c r="AF30" s="121"/>
      <c r="AG30" s="122"/>
      <c r="AH30" s="24" t="s">
        <v>170</v>
      </c>
      <c r="AI30" s="121"/>
      <c r="AJ30" s="121"/>
      <c r="AK30" s="121"/>
      <c r="AL30" s="122"/>
      <c r="AM30" s="125" t="s">
        <v>171</v>
      </c>
      <c r="AN30" s="121"/>
      <c r="AO30" s="121"/>
      <c r="AP30" s="121"/>
      <c r="AQ30" s="122"/>
      <c r="AR30" s="24" t="s">
        <v>172</v>
      </c>
      <c r="AS30" s="121"/>
      <c r="AT30" s="121"/>
      <c r="AU30" s="121"/>
      <c r="AV30" s="122"/>
      <c r="AW30" s="24" t="s">
        <v>173</v>
      </c>
      <c r="AX30" s="121"/>
      <c r="AY30" s="121"/>
      <c r="AZ30" s="121"/>
      <c r="BA30" s="122"/>
      <c r="BB30" s="24" t="s">
        <v>174</v>
      </c>
      <c r="BC30" s="121"/>
      <c r="BD30" s="121"/>
      <c r="BE30" s="121"/>
      <c r="BF30" s="122"/>
      <c r="BG30" s="18"/>
      <c r="BH30" s="18"/>
    </row>
    <row r="31" ht="15.0" customHeight="1">
      <c r="A31" s="18"/>
      <c r="B31" s="18"/>
      <c r="C31" s="18"/>
      <c r="D31" s="18"/>
      <c r="E31" s="18"/>
      <c r="F31" s="18"/>
      <c r="G31" s="18"/>
      <c r="H31" s="18"/>
      <c r="I31" s="18"/>
      <c r="J31" s="18"/>
      <c r="K31" s="18"/>
      <c r="L31" s="31" t="s">
        <v>175</v>
      </c>
      <c r="M31" s="233"/>
      <c r="N31" s="18"/>
      <c r="O31" s="18"/>
      <c r="P31" s="18"/>
      <c r="Q31" s="18"/>
      <c r="R31" s="18"/>
      <c r="S31" s="18"/>
      <c r="T31" s="18"/>
      <c r="U31" s="18"/>
      <c r="V31" s="18"/>
      <c r="W31" s="18"/>
      <c r="X31" s="71" t="s">
        <v>91</v>
      </c>
      <c r="Y31" s="33" t="s">
        <v>92</v>
      </c>
      <c r="Z31" s="33" t="s">
        <v>93</v>
      </c>
      <c r="AA31" s="33" t="s">
        <v>94</v>
      </c>
      <c r="AB31" s="131" t="s">
        <v>94</v>
      </c>
      <c r="AC31" s="71" t="s">
        <v>91</v>
      </c>
      <c r="AD31" s="33" t="s">
        <v>92</v>
      </c>
      <c r="AE31" s="33" t="s">
        <v>93</v>
      </c>
      <c r="AF31" s="33" t="s">
        <v>94</v>
      </c>
      <c r="AG31" s="132" t="s">
        <v>94</v>
      </c>
      <c r="AH31" s="71" t="s">
        <v>91</v>
      </c>
      <c r="AI31" s="33" t="s">
        <v>92</v>
      </c>
      <c r="AJ31" s="33" t="s">
        <v>93</v>
      </c>
      <c r="AK31" s="33" t="s">
        <v>94</v>
      </c>
      <c r="AL31" s="132" t="s">
        <v>94</v>
      </c>
      <c r="AM31" s="133" t="s">
        <v>91</v>
      </c>
      <c r="AN31" s="33" t="s">
        <v>92</v>
      </c>
      <c r="AO31" s="33" t="s">
        <v>93</v>
      </c>
      <c r="AP31" s="33" t="s">
        <v>94</v>
      </c>
      <c r="AQ31" s="132" t="s">
        <v>94</v>
      </c>
      <c r="AR31" s="71" t="s">
        <v>91</v>
      </c>
      <c r="AS31" s="33" t="s">
        <v>92</v>
      </c>
      <c r="AT31" s="33" t="s">
        <v>93</v>
      </c>
      <c r="AU31" s="131" t="s">
        <v>94</v>
      </c>
      <c r="AV31" s="132" t="s">
        <v>94</v>
      </c>
      <c r="AW31" s="71" t="s">
        <v>91</v>
      </c>
      <c r="AX31" s="33" t="s">
        <v>92</v>
      </c>
      <c r="AY31" s="33" t="s">
        <v>93</v>
      </c>
      <c r="AZ31" s="33" t="s">
        <v>94</v>
      </c>
      <c r="BA31" s="132" t="s">
        <v>94</v>
      </c>
      <c r="BB31" s="71" t="s">
        <v>91</v>
      </c>
      <c r="BC31" s="33" t="s">
        <v>92</v>
      </c>
      <c r="BD31" s="33" t="s">
        <v>93</v>
      </c>
      <c r="BE31" s="33" t="s">
        <v>94</v>
      </c>
      <c r="BF31" s="132" t="s">
        <v>94</v>
      </c>
      <c r="BG31" s="18"/>
      <c r="BH31" s="18"/>
    </row>
    <row r="32" ht="15.0"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8" t="s">
        <v>25</v>
      </c>
      <c r="Z32" s="138" t="s">
        <v>25</v>
      </c>
      <c r="AA32" s="39" t="s">
        <v>103</v>
      </c>
      <c r="AB32" s="39" t="s">
        <v>104</v>
      </c>
      <c r="AC32" s="37" t="s">
        <v>176</v>
      </c>
      <c r="AD32" s="138" t="s">
        <v>177</v>
      </c>
      <c r="AE32" s="138" t="s">
        <v>178</v>
      </c>
      <c r="AF32" s="39" t="s">
        <v>103</v>
      </c>
      <c r="AG32" s="139" t="s">
        <v>104</v>
      </c>
      <c r="AH32" s="37" t="s">
        <v>179</v>
      </c>
      <c r="AI32" s="138" t="s">
        <v>180</v>
      </c>
      <c r="AJ32" s="138" t="s">
        <v>181</v>
      </c>
      <c r="AK32" s="39" t="s">
        <v>103</v>
      </c>
      <c r="AL32" s="139" t="s">
        <v>104</v>
      </c>
      <c r="AM32" s="140" t="s">
        <v>25</v>
      </c>
      <c r="AN32" s="138" t="s">
        <v>25</v>
      </c>
      <c r="AO32" s="138" t="s">
        <v>25</v>
      </c>
      <c r="AP32" s="39" t="s">
        <v>103</v>
      </c>
      <c r="AQ32" s="139" t="s">
        <v>104</v>
      </c>
      <c r="AR32" s="37" t="s">
        <v>182</v>
      </c>
      <c r="AS32" s="138" t="s">
        <v>183</v>
      </c>
      <c r="AT32" s="138" t="s">
        <v>184</v>
      </c>
      <c r="AU32" s="39" t="s">
        <v>103</v>
      </c>
      <c r="AV32" s="139" t="s">
        <v>104</v>
      </c>
      <c r="AW32" s="37" t="s">
        <v>185</v>
      </c>
      <c r="AX32" s="138" t="s">
        <v>186</v>
      </c>
      <c r="AY32" s="138" t="s">
        <v>187</v>
      </c>
      <c r="AZ32" s="39" t="s">
        <v>103</v>
      </c>
      <c r="BA32" s="139" t="s">
        <v>104</v>
      </c>
      <c r="BB32" s="37" t="s">
        <v>188</v>
      </c>
      <c r="BC32" s="138" t="s">
        <v>189</v>
      </c>
      <c r="BD32" s="138" t="s">
        <v>190</v>
      </c>
      <c r="BE32" s="39" t="s">
        <v>103</v>
      </c>
      <c r="BF32" s="139" t="s">
        <v>104</v>
      </c>
      <c r="BG32" s="18"/>
      <c r="BH32" s="18"/>
    </row>
    <row r="33" ht="13.5" customHeight="1">
      <c r="A33" s="18"/>
      <c r="B33" s="18"/>
      <c r="C33" s="18"/>
      <c r="D33" s="18"/>
      <c r="E33" s="18"/>
      <c r="F33" s="18"/>
      <c r="G33" s="18"/>
      <c r="H33" s="18"/>
      <c r="I33" s="18"/>
      <c r="J33" s="18"/>
      <c r="K33" s="18"/>
      <c r="L33" s="231" t="str">
        <f>$K$26*$BD$28</f>
        <v>#DIV/0!</v>
      </c>
      <c r="M33" s="234"/>
      <c r="N33" s="18"/>
      <c r="O33" s="18"/>
      <c r="P33" s="18"/>
      <c r="Q33" s="18"/>
      <c r="R33" s="18"/>
      <c r="S33" s="223"/>
      <c r="T33" s="235"/>
      <c r="U33" s="235"/>
      <c r="V33" s="224" t="s">
        <v>157</v>
      </c>
      <c r="W33" s="225"/>
      <c r="X33" s="182" t="str">
        <f>'Calcoli matriciali'!$J$20</f>
        <v>#DIV/0!</v>
      </c>
      <c r="Y33" s="183" t="str">
        <f>'Calcoli matriciali'!$K$20</f>
        <v/>
      </c>
      <c r="Z33" s="183" t="str">
        <f t="shared" ref="Z33:Z34" si="76">SQRT(X33^2+Y33^2)</f>
        <v>#DIV/0!</v>
      </c>
      <c r="AA33" s="185">
        <f t="shared" ref="AA33:AA34" si="77">DEGREES(IF(Y33&lt;&gt;0,ATAN2(X33,Y33),0))</f>
        <v>0</v>
      </c>
      <c r="AB33" s="226">
        <f t="shared" ref="AB33:AB34" si="78">AA33*$R$26/360</f>
        <v>0</v>
      </c>
      <c r="AC33" s="182" t="str">
        <f>'Calcoli matriciali'!$L$20</f>
        <v/>
      </c>
      <c r="AD33" s="183" t="str">
        <f>'Calcoli matriciali'!$M$20</f>
        <v/>
      </c>
      <c r="AE33" s="183">
        <f t="shared" ref="AE33:AE34" si="79">SQRT(AC33^2+AD33^2)</f>
        <v>0</v>
      </c>
      <c r="AF33" s="185">
        <f t="shared" ref="AF33:AF34" si="80">DEGREES(IF(AD33&lt;&gt;0,ATAN2(AC33,AD33),0))</f>
        <v>0</v>
      </c>
      <c r="AG33" s="186">
        <f t="shared" ref="AG33:AG34" si="81">AF33*$R$26/360</f>
        <v>0</v>
      </c>
      <c r="AH33" s="182" t="str">
        <f>'Calcoli matriciali'!$J$22</f>
        <v/>
      </c>
      <c r="AI33" s="183" t="str">
        <f>'Calcoli matriciali'!$K$22</f>
        <v/>
      </c>
      <c r="AJ33" s="183">
        <f t="shared" ref="AJ33:AJ34" si="82">SQRT(AH33^2+AI33^2)</f>
        <v>0</v>
      </c>
      <c r="AK33" s="185">
        <f t="shared" ref="AK33:AK34" si="83">DEGREES(IF(AI33&lt;&gt;0,ATAN2(AH33,AI33),0))</f>
        <v>0</v>
      </c>
      <c r="AL33" s="186">
        <f t="shared" ref="AL33:AL34" si="84">AK33*$R$26/360</f>
        <v>0</v>
      </c>
      <c r="AM33" s="187" t="str">
        <f>'Calcoli matriciali'!$L$22</f>
        <v/>
      </c>
      <c r="AN33" s="183" t="str">
        <f>'Calcoli matriciali'!$M$22</f>
        <v/>
      </c>
      <c r="AO33" s="183">
        <f t="shared" ref="AO33:AO34" si="85">SQRT(AM33^2+AN33^2)</f>
        <v>0</v>
      </c>
      <c r="AP33" s="93">
        <f t="shared" ref="AP33:AP34" si="86">DEGREES(IF(AN33&lt;&gt;0,ATAN2(AM33,AN33),0))</f>
        <v>0</v>
      </c>
      <c r="AQ33" s="186">
        <f t="shared" ref="AQ33:AQ34" si="87">AP33*$R$26/360</f>
        <v>0</v>
      </c>
      <c r="AR33" s="182" t="str">
        <f t="shared" ref="AR33:AR34" si="88">-($AM33*$AC33+$AN33*$AD33)/($AC33^2+$AD33^2)</f>
        <v>#DIV/0!</v>
      </c>
      <c r="AS33" s="183" t="str">
        <f t="shared" ref="AS33:AS34" si="89">-($AN33*$AC33-$AM33*$AD33)/($AC33^2+$AD33^2)</f>
        <v>#DIV/0!</v>
      </c>
      <c r="AT33" s="183" t="str">
        <f t="shared" ref="AT33:AT34" si="90">SQRT(AR33^2+AS33^2)</f>
        <v>#DIV/0!</v>
      </c>
      <c r="AU33" s="93" t="str">
        <f t="shared" ref="AU33:AU34" si="91">DEGREES(IF(AS33&lt;&gt;0,ATAN2(AR33,AS33),0))</f>
        <v>#DIV/0!</v>
      </c>
      <c r="AV33" s="186" t="str">
        <f t="shared" ref="AV33:AV34" si="92">AU33*$R$26/360</f>
        <v>#DIV/0!</v>
      </c>
      <c r="AW33" s="182" t="str">
        <f t="shared" ref="AW33:AW34" si="93">-($X33*$AC33+$Y33*$AD33)/($AC33^2+$AD33^2)</f>
        <v>#DIV/0!</v>
      </c>
      <c r="AX33" s="183" t="str">
        <f t="shared" ref="AX33:AX34" si="94">-($Y33*$AC33-$X33*$AD33)/($AC33^2+$AD33^2)</f>
        <v>#DIV/0!</v>
      </c>
      <c r="AY33" s="183" t="str">
        <f t="shared" ref="AY33:AY34" si="95">SQRT(AW33^2+AX33^2)</f>
        <v>#DIV/0!</v>
      </c>
      <c r="AZ33" s="185" t="str">
        <f t="shared" ref="AZ33:AZ34" si="96">DEGREES(IF(AX33&lt;&gt;0,ATAN2(AW33,AX33),0))</f>
        <v>#DIV/0!</v>
      </c>
      <c r="BA33" s="186" t="str">
        <f t="shared" ref="BA33:BA34" si="97">AZ33*$R$26/360</f>
        <v>#DIV/0!</v>
      </c>
      <c r="BB33" s="182" t="str">
        <f t="shared" ref="BB33:BB34" si="98">-$AC33/($AC33^2+$AD33^2)</f>
        <v>#DIV/0!</v>
      </c>
      <c r="BC33" s="183" t="str">
        <f t="shared" ref="BC33:BC34" si="99">$AD33/($AC33^2+$AD33^2)</f>
        <v>#DIV/0!</v>
      </c>
      <c r="BD33" s="183" t="str">
        <f t="shared" ref="BD33:BD34" si="100">SQRT(BB33^2+BC33^2)</f>
        <v>#DIV/0!</v>
      </c>
      <c r="BE33" s="185" t="str">
        <f t="shared" ref="BE33:BE34" si="101">DEGREES(IF(BC33&lt;&gt;0,ATAN2(BB33,BC33),0))</f>
        <v>#DIV/0!</v>
      </c>
      <c r="BF33" s="186" t="str">
        <f t="shared" ref="BF33:BF34" si="102">BE33*$R$26/360</f>
        <v>#DIV/0!</v>
      </c>
      <c r="BG33" s="18"/>
      <c r="BH33" s="18"/>
    </row>
    <row r="34" ht="12.75" customHeight="1">
      <c r="A34" s="18"/>
      <c r="B34" s="18"/>
      <c r="C34" s="19" t="s">
        <v>191</v>
      </c>
      <c r="D34" s="19" t="s">
        <v>192</v>
      </c>
      <c r="E34" s="19" t="s">
        <v>193</v>
      </c>
      <c r="F34" s="18"/>
      <c r="G34" s="19"/>
      <c r="H34" s="18"/>
      <c r="I34" s="18"/>
      <c r="J34" s="18"/>
      <c r="K34" s="18"/>
      <c r="L34" s="18"/>
      <c r="M34" s="18"/>
      <c r="N34" s="18"/>
      <c r="O34" s="18"/>
      <c r="P34" s="18"/>
      <c r="Q34" s="18"/>
      <c r="R34" s="18"/>
      <c r="S34" s="18"/>
      <c r="T34" s="18"/>
      <c r="U34" s="18"/>
      <c r="V34" s="224" t="s">
        <v>163</v>
      </c>
      <c r="W34" s="227"/>
      <c r="X34" s="182" t="str">
        <f>'Calcoli matriciali'!$AT$25</f>
        <v>#DIV/0!</v>
      </c>
      <c r="Y34" s="183" t="str">
        <f>'Calcoli matriciali'!$AU$25</f>
        <v/>
      </c>
      <c r="Z34" s="183" t="str">
        <f t="shared" si="76"/>
        <v>#DIV/0!</v>
      </c>
      <c r="AA34" s="185">
        <f t="shared" si="77"/>
        <v>0</v>
      </c>
      <c r="AB34" s="226">
        <f t="shared" si="78"/>
        <v>0</v>
      </c>
      <c r="AC34" s="182" t="str">
        <f>'Calcoli matriciali'!$AV$25</f>
        <v/>
      </c>
      <c r="AD34" s="183" t="str">
        <f>'Calcoli matriciali'!$AW$25</f>
        <v/>
      </c>
      <c r="AE34" s="183">
        <f t="shared" si="79"/>
        <v>0</v>
      </c>
      <c r="AF34" s="185">
        <f t="shared" si="80"/>
        <v>0</v>
      </c>
      <c r="AG34" s="186">
        <f t="shared" si="81"/>
        <v>0</v>
      </c>
      <c r="AH34" s="182" t="str">
        <f>'Calcoli matriciali'!$AT$27</f>
        <v/>
      </c>
      <c r="AI34" s="183" t="str">
        <f>'Calcoli matriciali'!$AU$27</f>
        <v/>
      </c>
      <c r="AJ34" s="183">
        <f t="shared" si="82"/>
        <v>0</v>
      </c>
      <c r="AK34" s="185">
        <f t="shared" si="83"/>
        <v>0</v>
      </c>
      <c r="AL34" s="186">
        <f t="shared" si="84"/>
        <v>0</v>
      </c>
      <c r="AM34" s="187" t="str">
        <f>'Calcoli matriciali'!$AV$27</f>
        <v/>
      </c>
      <c r="AN34" s="183" t="str">
        <f>'Calcoli matriciali'!$AW$27</f>
        <v/>
      </c>
      <c r="AO34" s="183">
        <f t="shared" si="85"/>
        <v>0</v>
      </c>
      <c r="AP34" s="93">
        <f t="shared" si="86"/>
        <v>0</v>
      </c>
      <c r="AQ34" s="186">
        <f t="shared" si="87"/>
        <v>0</v>
      </c>
      <c r="AR34" s="182" t="str">
        <f t="shared" si="88"/>
        <v>#DIV/0!</v>
      </c>
      <c r="AS34" s="183" t="str">
        <f t="shared" si="89"/>
        <v>#DIV/0!</v>
      </c>
      <c r="AT34" s="228" t="str">
        <f t="shared" si="90"/>
        <v>#DIV/0!</v>
      </c>
      <c r="AU34" s="236" t="str">
        <f t="shared" si="91"/>
        <v>#DIV/0!</v>
      </c>
      <c r="AV34" s="229" t="str">
        <f t="shared" si="92"/>
        <v>#DIV/0!</v>
      </c>
      <c r="AW34" s="182" t="str">
        <f t="shared" si="93"/>
        <v>#DIV/0!</v>
      </c>
      <c r="AX34" s="183" t="str">
        <f t="shared" si="94"/>
        <v>#DIV/0!</v>
      </c>
      <c r="AY34" s="228" t="str">
        <f t="shared" si="95"/>
        <v>#DIV/0!</v>
      </c>
      <c r="AZ34" s="219" t="str">
        <f t="shared" si="96"/>
        <v>#DIV/0!</v>
      </c>
      <c r="BA34" s="229" t="str">
        <f t="shared" si="97"/>
        <v>#DIV/0!</v>
      </c>
      <c r="BB34" s="182" t="str">
        <f t="shared" si="98"/>
        <v>#DIV/0!</v>
      </c>
      <c r="BC34" s="183" t="str">
        <f t="shared" si="99"/>
        <v>#DIV/0!</v>
      </c>
      <c r="BD34" s="228" t="str">
        <f t="shared" si="100"/>
        <v>#DIV/0!</v>
      </c>
      <c r="BE34" s="219" t="str">
        <f t="shared" si="101"/>
        <v>#DIV/0!</v>
      </c>
      <c r="BF34" s="229" t="str">
        <f t="shared" si="102"/>
        <v>#DIV/0!</v>
      </c>
      <c r="BG34" s="18"/>
      <c r="BH34" s="18"/>
    </row>
    <row r="35" ht="15.75" customHeight="1">
      <c r="A35" s="18"/>
      <c r="B35" s="18"/>
      <c r="C35" s="215" t="s">
        <v>194</v>
      </c>
      <c r="D35" s="215" t="s">
        <v>195</v>
      </c>
      <c r="E35" s="215" t="s">
        <v>196</v>
      </c>
      <c r="F35" s="18"/>
      <c r="G35" s="18"/>
      <c r="H35" s="18"/>
      <c r="I35" s="18"/>
      <c r="J35" s="18"/>
      <c r="K35" s="215" t="s">
        <v>197</v>
      </c>
      <c r="L35" s="31" t="s">
        <v>198</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199</v>
      </c>
      <c r="D36" s="40" t="s">
        <v>200</v>
      </c>
      <c r="E36" s="40" t="s">
        <v>201</v>
      </c>
      <c r="F36" s="18"/>
      <c r="G36" s="18"/>
      <c r="H36" s="18"/>
      <c r="I36" s="18"/>
      <c r="J36" s="18"/>
      <c r="K36" s="40" t="s">
        <v>104</v>
      </c>
      <c r="L36" s="40" t="s">
        <v>202</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203</v>
      </c>
      <c r="AS36" s="121"/>
      <c r="AT36" s="121"/>
      <c r="AU36" s="121"/>
      <c r="AV36" s="122"/>
      <c r="AW36" s="237" t="s">
        <v>204</v>
      </c>
      <c r="AX36" s="121"/>
      <c r="AY36" s="121"/>
      <c r="AZ36" s="121"/>
      <c r="BA36" s="122"/>
      <c r="BB36" s="18"/>
      <c r="BC36" s="18"/>
      <c r="BD36" s="18"/>
      <c r="BE36" s="18"/>
      <c r="BF36" s="18"/>
      <c r="BG36" s="18"/>
      <c r="BH36" s="18"/>
    </row>
    <row r="37" ht="13.5" customHeight="1">
      <c r="A37" s="18"/>
      <c r="B37" s="18"/>
      <c r="C37" s="238" t="str">
        <f>1/ABS($AS$40)/$S$26/1000</f>
        <v>#DIV/0!</v>
      </c>
      <c r="D37" s="238" t="str">
        <f>1/ABS($AS$52)/$S$26/1000</f>
        <v>#DIV/0!</v>
      </c>
      <c r="E37" s="239" t="str">
        <f>$AT$46/$S$26/1000</f>
        <v>#DIV/0!</v>
      </c>
      <c r="F37" s="18"/>
      <c r="G37" s="18"/>
      <c r="H37" s="18"/>
      <c r="I37" s="18"/>
      <c r="J37" s="18"/>
      <c r="K37" s="230" t="str">
        <f>$AV$28</f>
        <v>#DIV/0!</v>
      </c>
      <c r="L37" s="231" t="str">
        <f>$AT$28</f>
        <v>#DIV/0!</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91</v>
      </c>
      <c r="AS37" s="33" t="s">
        <v>92</v>
      </c>
      <c r="AT37" s="33" t="s">
        <v>93</v>
      </c>
      <c r="AU37" s="33" t="s">
        <v>94</v>
      </c>
      <c r="AV37" s="132" t="s">
        <v>94</v>
      </c>
      <c r="AW37" s="71" t="s">
        <v>91</v>
      </c>
      <c r="AX37" s="33" t="s">
        <v>92</v>
      </c>
      <c r="AY37" s="33" t="s">
        <v>93</v>
      </c>
      <c r="AZ37" s="33" t="s">
        <v>94</v>
      </c>
      <c r="BA37" s="132" t="s">
        <v>94</v>
      </c>
      <c r="BB37" s="18"/>
      <c r="BC37" s="18"/>
      <c r="BD37" s="18"/>
      <c r="BE37" s="18"/>
      <c r="BF37" s="18"/>
      <c r="BG37" s="18"/>
      <c r="BH37" s="18"/>
    </row>
    <row r="38" ht="15.75" customHeight="1">
      <c r="A38" s="18"/>
      <c r="B38" s="18"/>
      <c r="C38" s="18"/>
      <c r="D38" s="18"/>
      <c r="E38" s="18"/>
      <c r="F38" s="18"/>
      <c r="G38" s="18"/>
      <c r="H38" s="18"/>
      <c r="I38" s="18"/>
      <c r="J38" s="18"/>
      <c r="K38" s="18"/>
      <c r="L38" s="31" t="s">
        <v>205</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206</v>
      </c>
      <c r="AS38" s="138" t="s">
        <v>207</v>
      </c>
      <c r="AT38" s="138" t="s">
        <v>208</v>
      </c>
      <c r="AU38" s="39" t="s">
        <v>103</v>
      </c>
      <c r="AV38" s="139" t="s">
        <v>104</v>
      </c>
      <c r="AW38" s="37" t="s">
        <v>209</v>
      </c>
      <c r="AX38" s="138" t="s">
        <v>210</v>
      </c>
      <c r="AY38" s="138" t="s">
        <v>211</v>
      </c>
      <c r="AZ38" s="39" t="s">
        <v>103</v>
      </c>
      <c r="BA38" s="139" t="s">
        <v>104</v>
      </c>
      <c r="BB38" s="18"/>
      <c r="BC38" s="18"/>
      <c r="BD38" s="18"/>
      <c r="BE38" s="18"/>
      <c r="BF38" s="18"/>
      <c r="BG38" s="18"/>
      <c r="BH38" s="18"/>
    </row>
    <row r="39" ht="12.7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212</v>
      </c>
      <c r="AQ39" s="225"/>
      <c r="AR39" s="240" t="str">
        <f t="shared" ref="AR39:AR40" si="103">AR27/(AR27^2+AS27^2)</f>
        <v>#DIV/0!</v>
      </c>
      <c r="AS39" s="228" t="str">
        <f t="shared" ref="AS39:AS40" si="104">-AS27/(AR27^2+AS27^2)</f>
        <v>#DIV/0!</v>
      </c>
      <c r="AT39" s="183" t="str">
        <f t="shared" ref="AT39:AT40" si="105">SQRT(AR39^2+AS39^2)</f>
        <v>#DIV/0!</v>
      </c>
      <c r="AU39" s="185" t="str">
        <f t="shared" ref="AU39:AU40" si="106">DEGREES(IF(AS39&lt;&gt;0,ATAN2(AR39,AS39),0))</f>
        <v>#DIV/0!</v>
      </c>
      <c r="AV39" s="186" t="str">
        <f t="shared" ref="AV39:AV40" si="107">AU39*$R$26/360</f>
        <v>#DIV/0!</v>
      </c>
      <c r="AW39" s="240" t="str">
        <f t="shared" ref="AW39:AW40" si="108">AW27/(AW27^2+AX27^2)</f>
        <v>#DIV/0!</v>
      </c>
      <c r="AX39" s="228" t="str">
        <f t="shared" ref="AX39:AX40" si="109">-AX27/(AW27^2+AX27^2)</f>
        <v>#DIV/0!</v>
      </c>
      <c r="AY39" s="183" t="str">
        <f t="shared" ref="AY39:AY40" si="110">SQRT(AW39^2+AX39^2)</f>
        <v>#DIV/0!</v>
      </c>
      <c r="AZ39" s="185" t="str">
        <f t="shared" ref="AZ39:AZ40" si="111">DEGREES(IF(AX39&lt;&gt;0,ATAN2(AW39,AX39),0))</f>
        <v>#DIV/0!</v>
      </c>
      <c r="BA39" s="186" t="str">
        <f t="shared" ref="BA39:BA40" si="112">AZ39*$R$26/360</f>
        <v>#DIV/0!</v>
      </c>
      <c r="BB39" s="18"/>
      <c r="BC39" s="18"/>
      <c r="BD39" s="18"/>
      <c r="BE39" s="18"/>
      <c r="BF39" s="18"/>
      <c r="BG39" s="18"/>
      <c r="BH39" s="18"/>
    </row>
    <row r="40" ht="12.75" customHeight="1">
      <c r="A40" s="18"/>
      <c r="B40" s="18"/>
      <c r="C40" s="18"/>
      <c r="D40" s="18"/>
      <c r="E40" s="18"/>
      <c r="F40" s="18"/>
      <c r="G40" s="18"/>
      <c r="H40" s="18"/>
      <c r="I40" s="18"/>
      <c r="J40" s="18"/>
      <c r="K40" s="18"/>
      <c r="L40" s="241" t="str">
        <f>$K$26*$AT$28</f>
        <v>#DIV/0!</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213</v>
      </c>
      <c r="AQ40" s="227"/>
      <c r="AR40" s="240" t="str">
        <f t="shared" si="103"/>
        <v>#DIV/0!</v>
      </c>
      <c r="AS40" s="228" t="str">
        <f t="shared" si="104"/>
        <v>#DIV/0!</v>
      </c>
      <c r="AT40" s="228" t="str">
        <f t="shared" si="105"/>
        <v>#DIV/0!</v>
      </c>
      <c r="AU40" s="219" t="str">
        <f t="shared" si="106"/>
        <v>#DIV/0!</v>
      </c>
      <c r="AV40" s="229" t="str">
        <f t="shared" si="107"/>
        <v>#DIV/0!</v>
      </c>
      <c r="AW40" s="240" t="str">
        <f t="shared" si="108"/>
        <v>#DIV/0!</v>
      </c>
      <c r="AX40" s="228" t="str">
        <f t="shared" si="109"/>
        <v>#DIV/0!</v>
      </c>
      <c r="AY40" s="228" t="str">
        <f t="shared" si="110"/>
        <v>#DIV/0!</v>
      </c>
      <c r="AZ40" s="219" t="str">
        <f t="shared" si="111"/>
        <v>#DIV/0!</v>
      </c>
      <c r="BA40" s="229" t="str">
        <f t="shared" si="112"/>
        <v>#DIV/0!</v>
      </c>
      <c r="BB40" s="235"/>
      <c r="BC40" s="235"/>
      <c r="BD40" s="18"/>
      <c r="BE40" s="18"/>
      <c r="BF40" s="18"/>
      <c r="BG40" s="18"/>
      <c r="BH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5" t="s">
        <v>214</v>
      </c>
      <c r="D42" s="215" t="s">
        <v>215</v>
      </c>
      <c r="E42" s="215" t="s">
        <v>216</v>
      </c>
      <c r="F42" s="18"/>
      <c r="G42" s="18"/>
      <c r="H42" s="18"/>
      <c r="I42" s="18"/>
      <c r="J42" s="18"/>
      <c r="K42" s="215" t="s">
        <v>217</v>
      </c>
      <c r="L42" s="31" t="s">
        <v>218</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219</v>
      </c>
      <c r="AS42" s="121"/>
      <c r="AT42" s="121"/>
      <c r="AU42" s="121"/>
      <c r="AV42" s="122"/>
      <c r="AW42" s="237" t="s">
        <v>220</v>
      </c>
      <c r="AX42" s="121"/>
      <c r="AY42" s="121"/>
      <c r="AZ42" s="121"/>
      <c r="BA42" s="122"/>
      <c r="BB42" s="18"/>
      <c r="BC42" s="18"/>
      <c r="BD42" s="18"/>
      <c r="BE42" s="18"/>
      <c r="BF42" s="18"/>
      <c r="BG42" s="18"/>
      <c r="BH42" s="18"/>
    </row>
    <row r="43" ht="15.0" customHeight="1">
      <c r="A43" s="18"/>
      <c r="B43" s="18"/>
      <c r="C43" s="40" t="s">
        <v>221</v>
      </c>
      <c r="D43" s="40" t="s">
        <v>222</v>
      </c>
      <c r="E43" s="40" t="s">
        <v>223</v>
      </c>
      <c r="F43" s="18"/>
      <c r="G43" s="18"/>
      <c r="H43" s="18"/>
      <c r="I43" s="18"/>
      <c r="J43" s="18"/>
      <c r="K43" s="40" t="s">
        <v>104</v>
      </c>
      <c r="L43" s="40" t="s">
        <v>224</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91</v>
      </c>
      <c r="AS43" s="33" t="s">
        <v>92</v>
      </c>
      <c r="AT43" s="33" t="s">
        <v>93</v>
      </c>
      <c r="AU43" s="33" t="s">
        <v>94</v>
      </c>
      <c r="AV43" s="132" t="s">
        <v>94</v>
      </c>
      <c r="AW43" s="71" t="s">
        <v>91</v>
      </c>
      <c r="AX43" s="33" t="s">
        <v>92</v>
      </c>
      <c r="AY43" s="33" t="s">
        <v>93</v>
      </c>
      <c r="AZ43" s="33" t="s">
        <v>94</v>
      </c>
      <c r="BA43" s="132" t="s">
        <v>94</v>
      </c>
      <c r="BB43" s="18"/>
      <c r="BC43" s="18"/>
      <c r="BD43" s="18"/>
      <c r="BE43" s="18"/>
      <c r="BF43" s="18"/>
      <c r="BG43" s="18"/>
      <c r="BH43" s="18"/>
    </row>
    <row r="44" ht="15.0" customHeight="1">
      <c r="A44" s="18"/>
      <c r="B44" s="18"/>
      <c r="C44" s="238" t="str">
        <f>1/ABS($AX$40)/$S$26/1000</f>
        <v>#DIV/0!</v>
      </c>
      <c r="D44" s="238" t="str">
        <f>1/ABS($AX$52)/$S$26/1000</f>
        <v>#DIV/0!</v>
      </c>
      <c r="E44" s="239" t="str">
        <f>$AY$46/$S$26/1000</f>
        <v>#DIV/0!</v>
      </c>
      <c r="F44" s="18"/>
      <c r="G44" s="18"/>
      <c r="H44" s="18"/>
      <c r="I44" s="18"/>
      <c r="J44" s="18"/>
      <c r="K44" s="230" t="str">
        <f>$BA$28</f>
        <v>#DIV/0!</v>
      </c>
      <c r="L44" s="231" t="str">
        <f>$AY$28</f>
        <v>#DIV/0!</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225</v>
      </c>
      <c r="AS44" s="138" t="s">
        <v>226</v>
      </c>
      <c r="AT44" s="138" t="s">
        <v>227</v>
      </c>
      <c r="AU44" s="39" t="s">
        <v>103</v>
      </c>
      <c r="AV44" s="139" t="s">
        <v>104</v>
      </c>
      <c r="AW44" s="37" t="s">
        <v>228</v>
      </c>
      <c r="AX44" s="138" t="s">
        <v>229</v>
      </c>
      <c r="AY44" s="138" t="s">
        <v>230</v>
      </c>
      <c r="AZ44" s="39" t="s">
        <v>103</v>
      </c>
      <c r="BA44" s="139" t="s">
        <v>104</v>
      </c>
      <c r="BB44" s="18"/>
      <c r="BC44" s="18"/>
      <c r="BD44" s="18"/>
      <c r="BE44" s="18"/>
      <c r="BF44" s="18"/>
      <c r="BG44" s="18"/>
      <c r="BH44" s="18"/>
    </row>
    <row r="45" ht="15.75" customHeight="1">
      <c r="A45" s="18"/>
      <c r="B45" s="18"/>
      <c r="C45" s="18"/>
      <c r="D45" s="18"/>
      <c r="E45" s="18"/>
      <c r="F45" s="18"/>
      <c r="G45" s="18"/>
      <c r="H45" s="18"/>
      <c r="I45" s="18"/>
      <c r="J45" s="18"/>
      <c r="K45" s="18"/>
      <c r="L45" s="31" t="s">
        <v>231</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212</v>
      </c>
      <c r="AQ45" s="225"/>
      <c r="AR45" s="240" t="str">
        <f t="shared" ref="AR45:AR46" si="113">AR27-$BB27</f>
        <v>#DIV/0!</v>
      </c>
      <c r="AS45" s="228" t="str">
        <f t="shared" ref="AS45:AS46" si="114">AS27-$BC27</f>
        <v>#DIV/0!</v>
      </c>
      <c r="AT45" s="183" t="str">
        <f t="shared" ref="AT45:AT46" si="115">SQRT(AR45^2+AS45^2)</f>
        <v>#DIV/0!</v>
      </c>
      <c r="AU45" s="185" t="str">
        <f t="shared" ref="AU45:AU46" si="116">DEGREES(IF(AS45&lt;&gt;0,ATAN2(AR45,AS45),0))</f>
        <v>#DIV/0!</v>
      </c>
      <c r="AV45" s="186" t="str">
        <f t="shared" ref="AV45:AV46" si="117">AU45*$R$26/360</f>
        <v>#DIV/0!</v>
      </c>
      <c r="AW45" s="240" t="str">
        <f t="shared" ref="AW45:AW46" si="118">AW27-$BB27</f>
        <v>#DIV/0!</v>
      </c>
      <c r="AX45" s="228" t="str">
        <f t="shared" ref="AX45:AX46" si="119">AX27-$BC27</f>
        <v>#DIV/0!</v>
      </c>
      <c r="AY45" s="183" t="str">
        <f t="shared" ref="AY45:AY46" si="120">SQRT(AW45^2+AX45^2)</f>
        <v>#DIV/0!</v>
      </c>
      <c r="AZ45" s="185" t="str">
        <f t="shared" ref="AZ45:AZ46" si="121">DEGREES(IF(AX45&lt;&gt;0,ATAN2(AW45,AX45),0))</f>
        <v>#DIV/0!</v>
      </c>
      <c r="BA45" s="186" t="str">
        <f t="shared" ref="BA45:BA46" si="122">AZ45*$R$26/360</f>
        <v>#DIV/0!</v>
      </c>
      <c r="BB45" s="18"/>
      <c r="BC45" s="18"/>
      <c r="BD45" s="18"/>
      <c r="BE45" s="18"/>
      <c r="BF45" s="18"/>
      <c r="BG45" s="18"/>
      <c r="BH45" s="18"/>
    </row>
    <row r="46" ht="12.7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213</v>
      </c>
      <c r="AQ46" s="227"/>
      <c r="AR46" s="240" t="str">
        <f t="shared" si="113"/>
        <v>#DIV/0!</v>
      </c>
      <c r="AS46" s="228" t="str">
        <f t="shared" si="114"/>
        <v>#DIV/0!</v>
      </c>
      <c r="AT46" s="228" t="str">
        <f t="shared" si="115"/>
        <v>#DIV/0!</v>
      </c>
      <c r="AU46" s="219" t="str">
        <f t="shared" si="116"/>
        <v>#DIV/0!</v>
      </c>
      <c r="AV46" s="229" t="str">
        <f t="shared" si="117"/>
        <v>#DIV/0!</v>
      </c>
      <c r="AW46" s="240" t="str">
        <f t="shared" si="118"/>
        <v>#DIV/0!</v>
      </c>
      <c r="AX46" s="228" t="str">
        <f t="shared" si="119"/>
        <v>#DIV/0!</v>
      </c>
      <c r="AY46" s="228" t="str">
        <f t="shared" si="120"/>
        <v>#DIV/0!</v>
      </c>
      <c r="AZ46" s="219" t="str">
        <f t="shared" si="121"/>
        <v>#DIV/0!</v>
      </c>
      <c r="BA46" s="229" t="str">
        <f t="shared" si="122"/>
        <v>#DIV/0!</v>
      </c>
      <c r="BB46" s="18"/>
      <c r="BC46" s="18"/>
      <c r="BD46" s="18"/>
      <c r="BE46" s="18"/>
      <c r="BF46" s="18"/>
      <c r="BG46" s="18"/>
      <c r="BH46" s="18"/>
    </row>
    <row r="47" ht="12.75" customHeight="1">
      <c r="A47" s="18"/>
      <c r="B47" s="18"/>
      <c r="C47" s="18"/>
      <c r="D47" s="18"/>
      <c r="E47" s="18"/>
      <c r="F47" s="18"/>
      <c r="G47" s="18"/>
      <c r="H47" s="18"/>
      <c r="I47" s="18"/>
      <c r="J47" s="18"/>
      <c r="K47" s="18"/>
      <c r="L47" s="241" t="str">
        <f>$K$26*$AY$28</f>
        <v>#DIV/0!</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232</v>
      </c>
      <c r="AS48" s="121"/>
      <c r="AT48" s="121"/>
      <c r="AU48" s="121"/>
      <c r="AV48" s="122"/>
      <c r="AW48" s="237" t="s">
        <v>233</v>
      </c>
      <c r="AX48" s="121"/>
      <c r="AY48" s="121"/>
      <c r="AZ48" s="121"/>
      <c r="BA48" s="122"/>
      <c r="BB48" s="18"/>
      <c r="BC48" s="18"/>
      <c r="BD48" s="18"/>
      <c r="BE48" s="18"/>
      <c r="BF48" s="18"/>
      <c r="BG48" s="18"/>
      <c r="BH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91</v>
      </c>
      <c r="AS49" s="33" t="s">
        <v>92</v>
      </c>
      <c r="AT49" s="33" t="s">
        <v>93</v>
      </c>
      <c r="AU49" s="33" t="s">
        <v>94</v>
      </c>
      <c r="AV49" s="132" t="s">
        <v>94</v>
      </c>
      <c r="AW49" s="71" t="s">
        <v>91</v>
      </c>
      <c r="AX49" s="33" t="s">
        <v>92</v>
      </c>
      <c r="AY49" s="33" t="s">
        <v>93</v>
      </c>
      <c r="AZ49" s="33" t="s">
        <v>94</v>
      </c>
      <c r="BA49" s="132" t="s">
        <v>94</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234</v>
      </c>
      <c r="AS50" s="138" t="s">
        <v>235</v>
      </c>
      <c r="AT50" s="138" t="s">
        <v>236</v>
      </c>
      <c r="AU50" s="39" t="s">
        <v>103</v>
      </c>
      <c r="AV50" s="139" t="s">
        <v>104</v>
      </c>
      <c r="AW50" s="37" t="s">
        <v>237</v>
      </c>
      <c r="AX50" s="138" t="s">
        <v>238</v>
      </c>
      <c r="AY50" s="138" t="s">
        <v>239</v>
      </c>
      <c r="AZ50" s="39" t="s">
        <v>103</v>
      </c>
      <c r="BA50" s="139" t="s">
        <v>104</v>
      </c>
      <c r="BB50" s="18"/>
      <c r="BC50" s="18"/>
      <c r="BD50" s="18"/>
      <c r="BE50" s="18"/>
      <c r="BF50" s="18"/>
      <c r="BG50" s="18"/>
      <c r="BH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212</v>
      </c>
      <c r="AQ51" s="225"/>
      <c r="AR51" s="240" t="str">
        <f t="shared" ref="AR51:AR52" si="123">AR45/(AR45^2+AS45^2)</f>
        <v>#DIV/0!</v>
      </c>
      <c r="AS51" s="228" t="str">
        <f t="shared" ref="AS51:AS52" si="124">-AS45/(AR45^2+AS45^2)</f>
        <v>#DIV/0!</v>
      </c>
      <c r="AT51" s="183" t="str">
        <f t="shared" ref="AT51:AT52" si="125">SQRT(AR51^2+AS51^2)</f>
        <v>#DIV/0!</v>
      </c>
      <c r="AU51" s="185" t="str">
        <f t="shared" ref="AU51:AU52" si="126">DEGREES(IF(AS51&lt;&gt;0,ATAN2(AR51,AS51),0))</f>
        <v>#DIV/0!</v>
      </c>
      <c r="AV51" s="186" t="str">
        <f t="shared" ref="AV51:AV52" si="127">AU51*$R$26/360</f>
        <v>#DIV/0!</v>
      </c>
      <c r="AW51" s="240" t="str">
        <f t="shared" ref="AW51:AW52" si="128">AW45/(AW45^2+AX45^2)</f>
        <v>#DIV/0!</v>
      </c>
      <c r="AX51" s="228" t="str">
        <f t="shared" ref="AX51:AX52" si="129">-AX45/(AW45^2+AX45^2)</f>
        <v>#DIV/0!</v>
      </c>
      <c r="AY51" s="183" t="str">
        <f t="shared" ref="AY51:AY52" si="130">SQRT(AW51^2+AX51^2)</f>
        <v>#DIV/0!</v>
      </c>
      <c r="AZ51" s="185" t="str">
        <f t="shared" ref="AZ51:AZ52" si="131">DEGREES(IF(AX51&lt;&gt;0,ATAN2(AW51,AX51),0))</f>
        <v>#DIV/0!</v>
      </c>
      <c r="BA51" s="186" t="str">
        <f t="shared" ref="BA51:BA52" si="132">AZ51*$R$26/360</f>
        <v>#DIV/0!</v>
      </c>
      <c r="BB51" s="18"/>
      <c r="BC51" s="18"/>
      <c r="BD51" s="18"/>
      <c r="BE51" s="18"/>
      <c r="BF51" s="18"/>
      <c r="BG51" s="18"/>
      <c r="BH51" s="18"/>
    </row>
    <row r="52" ht="12.7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213</v>
      </c>
      <c r="AQ52" s="227"/>
      <c r="AR52" s="240" t="str">
        <f t="shared" si="123"/>
        <v>#DIV/0!</v>
      </c>
      <c r="AS52" s="228" t="str">
        <f t="shared" si="124"/>
        <v>#DIV/0!</v>
      </c>
      <c r="AT52" s="228" t="str">
        <f t="shared" si="125"/>
        <v>#DIV/0!</v>
      </c>
      <c r="AU52" s="219" t="str">
        <f t="shared" si="126"/>
        <v>#DIV/0!</v>
      </c>
      <c r="AV52" s="229" t="str">
        <f t="shared" si="127"/>
        <v>#DIV/0!</v>
      </c>
      <c r="AW52" s="240" t="str">
        <f t="shared" si="128"/>
        <v>#DIV/0!</v>
      </c>
      <c r="AX52" s="228" t="str">
        <f t="shared" si="129"/>
        <v>#DIV/0!</v>
      </c>
      <c r="AY52" s="228" t="str">
        <f t="shared" si="130"/>
        <v>#DIV/0!</v>
      </c>
      <c r="AZ52" s="219" t="str">
        <f t="shared" si="131"/>
        <v>#DIV/0!</v>
      </c>
      <c r="BA52" s="229" t="str">
        <f t="shared" si="132"/>
        <v>#DIV/0!</v>
      </c>
      <c r="BB52" s="18"/>
      <c r="BC52" s="18"/>
      <c r="BD52" s="18"/>
      <c r="BE52" s="18"/>
      <c r="BF52" s="18"/>
      <c r="BG52" s="18"/>
      <c r="BH52" s="18"/>
    </row>
    <row r="53" ht="12.7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240</v>
      </c>
      <c r="AS54" s="121"/>
      <c r="AT54" s="121"/>
      <c r="AU54" s="121"/>
      <c r="AV54" s="122"/>
      <c r="AW54" s="24" t="s">
        <v>241</v>
      </c>
      <c r="AX54" s="121"/>
      <c r="AY54" s="121"/>
      <c r="AZ54" s="121"/>
      <c r="BA54" s="122"/>
      <c r="BB54" s="18"/>
      <c r="BC54" s="18"/>
      <c r="BD54" s="18"/>
      <c r="BE54" s="18"/>
      <c r="BF54" s="18"/>
      <c r="BG54" s="18"/>
      <c r="BH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91</v>
      </c>
      <c r="AS55" s="33" t="s">
        <v>92</v>
      </c>
      <c r="AT55" s="33" t="s">
        <v>93</v>
      </c>
      <c r="AU55" s="33" t="s">
        <v>94</v>
      </c>
      <c r="AV55" s="132" t="s">
        <v>94</v>
      </c>
      <c r="AW55" s="71" t="s">
        <v>91</v>
      </c>
      <c r="AX55" s="33" t="s">
        <v>92</v>
      </c>
      <c r="AY55" s="33" t="s">
        <v>93</v>
      </c>
      <c r="AZ55" s="33" t="s">
        <v>94</v>
      </c>
      <c r="BA55" s="132" t="s">
        <v>94</v>
      </c>
      <c r="BB55" s="18"/>
      <c r="BC55" s="18"/>
      <c r="BD55" s="18"/>
      <c r="BE55" s="18"/>
      <c r="BF55" s="18"/>
      <c r="BG55" s="18"/>
      <c r="BH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103</v>
      </c>
      <c r="AV56" s="139" t="s">
        <v>104</v>
      </c>
      <c r="AW56" s="37" t="s">
        <v>25</v>
      </c>
      <c r="AX56" s="138" t="s">
        <v>25</v>
      </c>
      <c r="AY56" s="138" t="s">
        <v>25</v>
      </c>
      <c r="AZ56" s="39" t="s">
        <v>103</v>
      </c>
      <c r="BA56" s="139" t="s">
        <v>104</v>
      </c>
      <c r="BB56" s="18"/>
      <c r="BC56" s="18"/>
      <c r="BD56" s="18"/>
      <c r="BE56" s="18"/>
      <c r="BF56" s="18"/>
      <c r="BG56" s="18"/>
      <c r="BH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t="str">
        <f>1-$K$21*AR28</f>
        <v>#DIV/0!</v>
      </c>
      <c r="AS57" s="228" t="str">
        <f>-$K$21*AS28</f>
        <v>#DIV/0!</v>
      </c>
      <c r="AT57" s="228" t="str">
        <f>SQRT(AR57^2+AS57^2)</f>
        <v>#DIV/0!</v>
      </c>
      <c r="AU57" s="219" t="str">
        <f>DEGREES(IF(AS57&lt;&gt;0,ATAN2(AR57,AS57),0))</f>
        <v>#DIV/0!</v>
      </c>
      <c r="AV57" s="229" t="str">
        <f>AU57*$R$26/360</f>
        <v>#DIV/0!</v>
      </c>
      <c r="AW57" s="240" t="str">
        <f>1-$K$22*AW28</f>
        <v>#DIV/0!</v>
      </c>
      <c r="AX57" s="228" t="str">
        <f>-$K$22*AX28</f>
        <v>#DIV/0!</v>
      </c>
      <c r="AY57" s="228" t="str">
        <f>SQRT(AW57^2+AX57^2)</f>
        <v>#DIV/0!</v>
      </c>
      <c r="AZ57" s="219" t="str">
        <f>DEGREES(IF(AX57&lt;&gt;0,ATAN2(AW57,AX57),0))</f>
        <v>#DIV/0!</v>
      </c>
      <c r="BA57" s="229" t="str">
        <f>AZ57*$R$26/360</f>
        <v>#DIV/0!</v>
      </c>
      <c r="BB57" s="18"/>
      <c r="BC57" s="18"/>
      <c r="BD57" s="18"/>
      <c r="BE57" s="18"/>
      <c r="BF57" s="18"/>
      <c r="BG57" s="18"/>
      <c r="BH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242</v>
      </c>
      <c r="AS59" s="121"/>
      <c r="AT59" s="121"/>
      <c r="AU59" s="121"/>
      <c r="AV59" s="122"/>
      <c r="AW59" s="24" t="s">
        <v>243</v>
      </c>
      <c r="AX59" s="121"/>
      <c r="AY59" s="121"/>
      <c r="AZ59" s="121"/>
      <c r="BA59" s="122"/>
      <c r="BB59" s="18"/>
      <c r="BC59" s="18"/>
      <c r="BD59" s="18"/>
      <c r="BE59" s="18"/>
      <c r="BF59" s="18"/>
      <c r="BG59" s="18"/>
      <c r="BH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91</v>
      </c>
      <c r="AS60" s="33" t="s">
        <v>92</v>
      </c>
      <c r="AT60" s="33" t="s">
        <v>93</v>
      </c>
      <c r="AU60" s="33" t="s">
        <v>94</v>
      </c>
      <c r="AV60" s="132" t="s">
        <v>94</v>
      </c>
      <c r="AW60" s="71" t="s">
        <v>91</v>
      </c>
      <c r="AX60" s="33" t="s">
        <v>92</v>
      </c>
      <c r="AY60" s="33" t="s">
        <v>93</v>
      </c>
      <c r="AZ60" s="33" t="s">
        <v>94</v>
      </c>
      <c r="BA60" s="132" t="s">
        <v>94</v>
      </c>
      <c r="BB60" s="18"/>
      <c r="BC60" s="18"/>
      <c r="BD60" s="18"/>
      <c r="BE60" s="18"/>
      <c r="BF60" s="18"/>
      <c r="BG60" s="18"/>
      <c r="BH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103</v>
      </c>
      <c r="AV61" s="139" t="s">
        <v>104</v>
      </c>
      <c r="AW61" s="37" t="s">
        <v>25</v>
      </c>
      <c r="AX61" s="138" t="s">
        <v>25</v>
      </c>
      <c r="AY61" s="138" t="s">
        <v>25</v>
      </c>
      <c r="AZ61" s="39" t="s">
        <v>103</v>
      </c>
      <c r="BA61" s="139" t="s">
        <v>104</v>
      </c>
      <c r="BB61" s="18"/>
      <c r="BC61" s="18"/>
      <c r="BD61" s="18"/>
      <c r="BE61" s="18"/>
      <c r="BF61" s="18"/>
      <c r="BG61" s="18"/>
      <c r="BH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t="str">
        <f>1-$K$21*AR46</f>
        <v>#DIV/0!</v>
      </c>
      <c r="AS62" s="228" t="str">
        <f>-$K$21*AS46</f>
        <v>#DIV/0!</v>
      </c>
      <c r="AT62" s="228" t="str">
        <f>SQRT(AR62^2+AS62^2)</f>
        <v>#DIV/0!</v>
      </c>
      <c r="AU62" s="219" t="str">
        <f>DEGREES(IF(AS62&lt;&gt;0,ATAN2(AR62,AS62),0))</f>
        <v>#DIV/0!</v>
      </c>
      <c r="AV62" s="229" t="str">
        <f>AU62*$R$26/360</f>
        <v>#DIV/0!</v>
      </c>
      <c r="AW62" s="240" t="str">
        <f>1-$K$22*AW46</f>
        <v>#DIV/0!</v>
      </c>
      <c r="AX62" s="228" t="str">
        <f>-$K$22*AX46</f>
        <v>#DIV/0!</v>
      </c>
      <c r="AY62" s="228" t="str">
        <f>SQRT(AW62^2+AX62^2)</f>
        <v>#DIV/0!</v>
      </c>
      <c r="AZ62" s="219" t="str">
        <f>DEGREES(IF(AX62&lt;&gt;0,ATAN2(AW62,AX62),0))</f>
        <v>#DIV/0!</v>
      </c>
      <c r="BA62" s="229" t="str">
        <f>AZ62*$R$26/360</f>
        <v>#DIV/0!</v>
      </c>
      <c r="BB62" s="18"/>
      <c r="BC62" s="18"/>
      <c r="BD62" s="18"/>
      <c r="BE62" s="18"/>
      <c r="BF62" s="18"/>
      <c r="BG62" s="18"/>
      <c r="BH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2.7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0" customHeight="1">
      <c r="A2" s="242"/>
      <c r="B2" s="244" t="s">
        <v>244</v>
      </c>
      <c r="C2" s="245"/>
      <c r="D2" s="246" t="s">
        <v>245</v>
      </c>
      <c r="E2" s="121"/>
      <c r="F2" s="121"/>
      <c r="G2" s="122"/>
      <c r="H2" s="246" t="s">
        <v>246</v>
      </c>
      <c r="I2" s="121"/>
      <c r="J2" s="121"/>
      <c r="K2" s="122"/>
      <c r="L2" s="246" t="s">
        <v>247</v>
      </c>
      <c r="M2" s="121"/>
      <c r="N2" s="121"/>
      <c r="O2" s="122"/>
      <c r="P2" s="246" t="s">
        <v>248</v>
      </c>
      <c r="Q2" s="121"/>
      <c r="R2" s="121"/>
      <c r="S2" s="122"/>
      <c r="T2" s="246" t="s">
        <v>249</v>
      </c>
      <c r="U2" s="121"/>
      <c r="V2" s="121"/>
      <c r="W2" s="122"/>
      <c r="X2" s="246" t="s">
        <v>250</v>
      </c>
      <c r="Y2" s="121"/>
      <c r="Z2" s="121"/>
      <c r="AA2" s="122"/>
      <c r="AB2" s="246" t="s">
        <v>251</v>
      </c>
      <c r="AC2" s="121"/>
      <c r="AD2" s="121"/>
      <c r="AE2" s="122"/>
      <c r="AF2" s="246" t="s">
        <v>252</v>
      </c>
      <c r="AG2" s="121"/>
      <c r="AH2" s="121"/>
      <c r="AI2" s="122"/>
      <c r="AJ2" s="246" t="s">
        <v>253</v>
      </c>
      <c r="AK2" s="121"/>
      <c r="AL2" s="121"/>
      <c r="AM2" s="122"/>
      <c r="AN2" s="246" t="s">
        <v>254</v>
      </c>
      <c r="AO2" s="121"/>
      <c r="AP2" s="121"/>
      <c r="AQ2" s="122"/>
      <c r="AR2" s="246" t="s">
        <v>255</v>
      </c>
      <c r="AS2" s="121"/>
      <c r="AT2" s="121"/>
      <c r="AU2" s="122"/>
      <c r="AV2" s="246" t="s">
        <v>256</v>
      </c>
      <c r="AW2" s="121"/>
      <c r="AX2" s="121"/>
      <c r="AY2" s="122"/>
      <c r="AZ2" s="242"/>
    </row>
    <row r="3" ht="12.0" customHeight="1">
      <c r="A3" s="242"/>
      <c r="B3" s="247"/>
      <c r="C3" s="248"/>
      <c r="D3" s="249">
        <f>'Calcoli componente'!$X$21</f>
        <v>1</v>
      </c>
      <c r="E3" s="250">
        <f>'Calcoli componente'!$Y$21</f>
        <v>0</v>
      </c>
      <c r="F3" s="250">
        <f>'Calcoli componente'!$AC$21</f>
        <v>-0.17</v>
      </c>
      <c r="G3" s="251">
        <f>'Calcoli componente'!$AD$21</f>
        <v>0</v>
      </c>
      <c r="H3" s="249" t="str">
        <f>'Calcoli componente'!$X$7</f>
        <v>#DIV/0!</v>
      </c>
      <c r="I3" s="250" t="str">
        <f>'Calcoli componente'!$Y$7</f>
        <v>#DIV/0!</v>
      </c>
      <c r="J3" s="250" t="str">
        <f>'Calcoli componente'!$AC$7</f>
        <v>#DIV/0!</v>
      </c>
      <c r="K3" s="251" t="str">
        <f>'Calcoli componente'!$AD$7</f>
        <v>#DIV/0!</v>
      </c>
      <c r="L3" s="249" t="str">
        <f>'Calcoli componente'!$X$8</f>
        <v>#DIV/0!</v>
      </c>
      <c r="M3" s="250" t="str">
        <f>'Calcoli componente'!$Y$8</f>
        <v>#DIV/0!</v>
      </c>
      <c r="N3" s="250" t="str">
        <f>'Calcoli componente'!$AC$8</f>
        <v>#DIV/0!</v>
      </c>
      <c r="O3" s="251" t="str">
        <f>'Calcoli componente'!$AD$8</f>
        <v>#DIV/0!</v>
      </c>
      <c r="P3" s="249" t="str">
        <f>'Calcoli componente'!$X$9</f>
        <v>#DIV/0!</v>
      </c>
      <c r="Q3" s="250" t="str">
        <f>'Calcoli componente'!$Y$9</f>
        <v>#DIV/0!</v>
      </c>
      <c r="R3" s="250" t="str">
        <f>'Calcoli componente'!$AC$9</f>
        <v>#DIV/0!</v>
      </c>
      <c r="S3" s="251" t="str">
        <f>'Calcoli componente'!$AD$9</f>
        <v>#DIV/0!</v>
      </c>
      <c r="T3" s="249" t="str">
        <f>'Calcoli componente'!$X$10</f>
        <v>#DIV/0!</v>
      </c>
      <c r="U3" s="250" t="str">
        <f>'Calcoli componente'!$Y$10</f>
        <v>#DIV/0!</v>
      </c>
      <c r="V3" s="250" t="str">
        <f>'Calcoli componente'!$AC$10</f>
        <v>#DIV/0!</v>
      </c>
      <c r="W3" s="251" t="str">
        <f>'Calcoli componente'!$AD$10</f>
        <v>#DIV/0!</v>
      </c>
      <c r="X3" s="249">
        <f>'Calcoli componente'!$X$11</f>
        <v>1</v>
      </c>
      <c r="Y3" s="250">
        <f>'Calcoli componente'!$Y$11</f>
        <v>0</v>
      </c>
      <c r="Z3" s="250">
        <f>'Calcoli componente'!$AC$11</f>
        <v>0</v>
      </c>
      <c r="AA3" s="251">
        <f>'Calcoli componente'!$AD$11</f>
        <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-0.04</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-0.17</v>
      </c>
      <c r="H4" s="249" t="str">
        <f>-'Calcoli componente'!$Y$7</f>
        <v>#DIV/0!</v>
      </c>
      <c r="I4" s="250" t="str">
        <f>'Calcoli componente'!$X$7</f>
        <v>#DIV/0!</v>
      </c>
      <c r="J4" s="250" t="str">
        <f>-'Calcoli componente'!$AD$7</f>
        <v>#DIV/0!</v>
      </c>
      <c r="K4" s="251" t="str">
        <f>'Calcoli componente'!$AC$7</f>
        <v>#DIV/0!</v>
      </c>
      <c r="L4" s="249" t="str">
        <f>-'Calcoli componente'!$Y$8</f>
        <v>#DIV/0!</v>
      </c>
      <c r="M4" s="250" t="str">
        <f>'Calcoli componente'!$X$8</f>
        <v>#DIV/0!</v>
      </c>
      <c r="N4" s="250" t="str">
        <f>-'Calcoli componente'!$AD$8</f>
        <v>#DIV/0!</v>
      </c>
      <c r="O4" s="251" t="str">
        <f>'Calcoli componente'!$AC$8</f>
        <v>#DIV/0!</v>
      </c>
      <c r="P4" s="249" t="str">
        <f>-'Calcoli componente'!$Y$9</f>
        <v>#DIV/0!</v>
      </c>
      <c r="Q4" s="250" t="str">
        <f>'Calcoli componente'!$X$9</f>
        <v>#DIV/0!</v>
      </c>
      <c r="R4" s="250" t="str">
        <f>-'Calcoli componente'!$AD$9</f>
        <v>#DIV/0!</v>
      </c>
      <c r="S4" s="251" t="str">
        <f>'Calcoli componente'!$AC$9</f>
        <v>#DIV/0!</v>
      </c>
      <c r="T4" s="249" t="str">
        <f>-'Calcoli componente'!$Y$10</f>
        <v>#DIV/0!</v>
      </c>
      <c r="U4" s="250" t="str">
        <f>'Calcoli componente'!$X$10</f>
        <v>#DIV/0!</v>
      </c>
      <c r="V4" s="250" t="str">
        <f>-'Calcoli componente'!$AD$10</f>
        <v>#DIV/0!</v>
      </c>
      <c r="W4" s="251" t="str">
        <f>'Calcoli componente'!$AC$10</f>
        <v>#DIV/0!</v>
      </c>
      <c r="X4" s="249">
        <f>-'Calcoli componente'!$Y$11</f>
        <v>0</v>
      </c>
      <c r="Y4" s="250">
        <f>'Calcoli componente'!$X$11</f>
        <v>1</v>
      </c>
      <c r="Z4" s="250">
        <f>-'Calcoli componente'!$AD$11</f>
        <v>0</v>
      </c>
      <c r="AA4" s="251">
        <f>'Calcoli componente'!$AC$11</f>
        <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-0.04</v>
      </c>
      <c r="AZ4" s="242"/>
    </row>
    <row r="5" ht="12.75" customHeight="1">
      <c r="A5" s="242"/>
      <c r="B5" s="247"/>
      <c r="C5" s="248"/>
      <c r="D5" s="249">
        <f>'Calcoli componente'!$AH$21</f>
        <v>0</v>
      </c>
      <c r="E5" s="250">
        <f>'Calcoli componente'!$AI$21</f>
        <v>0</v>
      </c>
      <c r="F5" s="250">
        <f>'Calcoli componente'!$AM$21</f>
        <v>1</v>
      </c>
      <c r="G5" s="251">
        <f>'Calcoli componente'!$AN$21</f>
        <v>0</v>
      </c>
      <c r="H5" s="249" t="str">
        <f>'Calcoli componente'!$AH$7</f>
        <v>#DIV/0!</v>
      </c>
      <c r="I5" s="250" t="str">
        <f>'Calcoli componente'!$AI$7</f>
        <v>#DIV/0!</v>
      </c>
      <c r="J5" s="250" t="str">
        <f>'Calcoli componente'!$AM$7</f>
        <v>#DIV/0!</v>
      </c>
      <c r="K5" s="251" t="str">
        <f>'Calcoli componente'!$AN$7</f>
        <v>#DIV/0!</v>
      </c>
      <c r="L5" s="249" t="str">
        <f>'Calcoli componente'!$AH$8</f>
        <v>#DIV/0!</v>
      </c>
      <c r="M5" s="250" t="str">
        <f>'Calcoli componente'!$AI$8</f>
        <v>#DIV/0!</v>
      </c>
      <c r="N5" s="250" t="str">
        <f>'Calcoli componente'!$AM$8</f>
        <v>#DIV/0!</v>
      </c>
      <c r="O5" s="251" t="str">
        <f>'Calcoli componente'!$AN$8</f>
        <v>#DIV/0!</v>
      </c>
      <c r="P5" s="249" t="str">
        <f>'Calcoli componente'!$AH$9</f>
        <v>#DIV/0!</v>
      </c>
      <c r="Q5" s="250" t="str">
        <f>'Calcoli componente'!$AI$9</f>
        <v>#DIV/0!</v>
      </c>
      <c r="R5" s="250" t="str">
        <f>'Calcoli componente'!$AM$9</f>
        <v>#DIV/0!</v>
      </c>
      <c r="S5" s="251" t="str">
        <f>'Calcoli componente'!$AN$9</f>
        <v>#DIV/0!</v>
      </c>
      <c r="T5" s="249" t="str">
        <f>'Calcoli componente'!$AH$10</f>
        <v>#DIV/0!</v>
      </c>
      <c r="U5" s="250" t="str">
        <f>'Calcoli componente'!$AI$10</f>
        <v>#DIV/0!</v>
      </c>
      <c r="V5" s="250" t="str">
        <f>'Calcoli componente'!$AM$10</f>
        <v>#DIV/0!</v>
      </c>
      <c r="W5" s="251" t="str">
        <f>'Calcoli componente'!$AN$10</f>
        <v>#DIV/0!</v>
      </c>
      <c r="X5" s="249">
        <f>'Calcoli componente'!$AH$11</f>
        <v>0</v>
      </c>
      <c r="Y5" s="250">
        <f>'Calcoli componente'!$AI$11</f>
        <v>0</v>
      </c>
      <c r="Z5" s="250">
        <f>'Calcoli componente'!$AM$11</f>
        <v>1</v>
      </c>
      <c r="AA5" s="251">
        <f>'Calcoli componente'!$AN$11</f>
        <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t="str">
        <f>-'Calcoli componente'!$AI$7</f>
        <v>#DIV/0!</v>
      </c>
      <c r="I6" s="255" t="str">
        <f>'Calcoli componente'!$AH$7</f>
        <v>#DIV/0!</v>
      </c>
      <c r="J6" s="255" t="str">
        <f>-'Calcoli componente'!$AN$7</f>
        <v>#DIV/0!</v>
      </c>
      <c r="K6" s="256" t="str">
        <f>'Calcoli componente'!$AM$7</f>
        <v>#DIV/0!</v>
      </c>
      <c r="L6" s="254" t="str">
        <f>-'Calcoli componente'!$AI$8</f>
        <v>#DIV/0!</v>
      </c>
      <c r="M6" s="255" t="str">
        <f>'Calcoli componente'!$AH$8</f>
        <v>#DIV/0!</v>
      </c>
      <c r="N6" s="255" t="str">
        <f>-'Calcoli componente'!$AN$8</f>
        <v>#DIV/0!</v>
      </c>
      <c r="O6" s="256" t="str">
        <f>'Calcoli componente'!$AM$8</f>
        <v>#DIV/0!</v>
      </c>
      <c r="P6" s="254" t="str">
        <f>-'Calcoli componente'!$AI$9</f>
        <v>#DIV/0!</v>
      </c>
      <c r="Q6" s="255" t="str">
        <f>'Calcoli componente'!$AH$9</f>
        <v>#DIV/0!</v>
      </c>
      <c r="R6" s="255" t="str">
        <f>-'Calcoli componente'!$AN$9</f>
        <v>#DIV/0!</v>
      </c>
      <c r="S6" s="256" t="str">
        <f>'Calcoli componente'!$AM$9</f>
        <v>#DIV/0!</v>
      </c>
      <c r="T6" s="254" t="str">
        <f>-'Calcoli componente'!$AI$10</f>
        <v>#DIV/0!</v>
      </c>
      <c r="U6" s="255" t="str">
        <f>'Calcoli componente'!$AH$10</f>
        <v>#DIV/0!</v>
      </c>
      <c r="V6" s="255" t="str">
        <f>-'Calcoli componente'!$AN$10</f>
        <v>#DIV/0!</v>
      </c>
      <c r="W6" s="256" t="str">
        <f>'Calcoli componente'!$AM$10</f>
        <v>#DIV/0!</v>
      </c>
      <c r="X6" s="254">
        <f>-'Calcoli componente'!$AI$11</f>
        <v>0</v>
      </c>
      <c r="Y6" s="255">
        <f>'Calcoli componente'!$AH$11</f>
        <v>0</v>
      </c>
      <c r="Z6" s="255">
        <f>-'Calcoli componente'!$AN$11</f>
        <v>0</v>
      </c>
      <c r="AA6" s="256">
        <f>'Calcoli componente'!$AM$11</f>
        <v>1</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2.7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0" customHeight="1">
      <c r="A8" s="242"/>
      <c r="B8" s="260" t="s">
        <v>257</v>
      </c>
      <c r="C8" s="261"/>
      <c r="D8" s="262"/>
      <c r="E8" s="262"/>
      <c r="F8" s="262"/>
      <c r="G8" s="262"/>
      <c r="H8" s="262"/>
      <c r="I8" s="263"/>
      <c r="J8" s="264" t="s">
        <v>258</v>
      </c>
      <c r="K8" s="265"/>
      <c r="L8" s="265"/>
      <c r="M8" s="266"/>
      <c r="N8" s="264" t="s">
        <v>259</v>
      </c>
      <c r="O8" s="265"/>
      <c r="P8" s="265"/>
      <c r="Q8" s="266"/>
      <c r="R8" s="264" t="s">
        <v>260</v>
      </c>
      <c r="S8" s="265"/>
      <c r="T8" s="265"/>
      <c r="U8" s="266"/>
      <c r="V8" s="264" t="s">
        <v>261</v>
      </c>
      <c r="W8" s="265"/>
      <c r="X8" s="265"/>
      <c r="Y8" s="266"/>
      <c r="Z8" s="264" t="s">
        <v>262</v>
      </c>
      <c r="AA8" s="265"/>
      <c r="AB8" s="265"/>
      <c r="AC8" s="266"/>
      <c r="AD8" s="264" t="s">
        <v>263</v>
      </c>
      <c r="AE8" s="265"/>
      <c r="AF8" s="265"/>
      <c r="AG8" s="266"/>
      <c r="AH8" s="264" t="s">
        <v>264</v>
      </c>
      <c r="AI8" s="265"/>
      <c r="AJ8" s="265"/>
      <c r="AK8" s="266"/>
      <c r="AL8" s="264" t="s">
        <v>265</v>
      </c>
      <c r="AM8" s="265"/>
      <c r="AN8" s="265"/>
      <c r="AO8" s="266"/>
      <c r="AP8" s="264" t="s">
        <v>266</v>
      </c>
      <c r="AQ8" s="265"/>
      <c r="AR8" s="265"/>
      <c r="AS8" s="266"/>
      <c r="AT8" s="264" t="s">
        <v>267</v>
      </c>
      <c r="AU8" s="265"/>
      <c r="AV8" s="265"/>
      <c r="AW8" s="266"/>
      <c r="AX8" s="267"/>
      <c r="AY8" s="242"/>
      <c r="AZ8" s="242"/>
    </row>
    <row r="9" ht="12.75" customHeight="1">
      <c r="A9" s="242"/>
      <c r="B9" s="247"/>
      <c r="C9" s="262"/>
      <c r="D9" s="262"/>
      <c r="E9" s="262"/>
      <c r="F9" s="262"/>
      <c r="G9" s="262"/>
      <c r="H9" s="262"/>
      <c r="I9" s="262"/>
      <c r="J9" s="249" t="str">
        <f t="array" ref="J9">MMULT(L3:O6,H3:K6)</f>
        <v>#DIV/0!</v>
      </c>
      <c r="K9" s="250"/>
      <c r="L9" s="250"/>
      <c r="M9" s="251"/>
      <c r="N9" s="249" t="str">
        <f t="array" ref="N9">MMULT(P3:S6,J9:M12)</f>
        <v>#DIV/0!</v>
      </c>
      <c r="O9" s="250"/>
      <c r="P9" s="250"/>
      <c r="Q9" s="251"/>
      <c r="R9" s="249" t="str">
        <f t="array" ref="R9">MMULT(T3:W6,N9:Q12)</f>
        <v>#DIV/0!</v>
      </c>
      <c r="S9" s="250"/>
      <c r="T9" s="250"/>
      <c r="U9" s="251"/>
      <c r="V9" s="249" t="str">
        <f t="array" ref="V9">MMULT(X3:AA6,R9:U12)</f>
        <v>#DIV/0!</v>
      </c>
      <c r="W9" s="250"/>
      <c r="X9" s="250"/>
      <c r="Y9" s="251"/>
      <c r="Z9" s="249" t="str">
        <f t="array" ref="Z9">MMULT(AB3:AE6,V9:Y12)</f>
        <v>#DIV/0!</v>
      </c>
      <c r="AA9" s="250"/>
      <c r="AB9" s="250"/>
      <c r="AC9" s="251"/>
      <c r="AD9" s="249" t="str">
        <f t="array" ref="AD9">MMULT(AF3:AI6,Z9:AC12)</f>
        <v>#DIV/0!</v>
      </c>
      <c r="AE9" s="250"/>
      <c r="AF9" s="250"/>
      <c r="AG9" s="251"/>
      <c r="AH9" s="249" t="str">
        <f t="array" ref="AH9">MMULT(AJ3:AM6,AD9:AG12)</f>
        <v>#DIV/0!</v>
      </c>
      <c r="AI9" s="250"/>
      <c r="AJ9" s="250"/>
      <c r="AK9" s="251"/>
      <c r="AL9" s="249" t="str">
        <f t="array" ref="AL9">MMULT(AN3:AQ6,AH9:AK12)</f>
        <v>#DIV/0!</v>
      </c>
      <c r="AM9" s="250"/>
      <c r="AN9" s="250"/>
      <c r="AO9" s="251"/>
      <c r="AP9" s="268" t="str">
        <f t="array" ref="AP9">MMULT(AR3:AU6,AL9:AO12)</f>
        <v>#DIV/0!</v>
      </c>
      <c r="AQ9" s="269"/>
      <c r="AR9" s="269"/>
      <c r="AS9" s="270"/>
      <c r="AT9" s="249" t="str">
        <f t="array" ref="AT9">MMULT(AV3:AY6,AP9:AS12)</f>
        <v>#DIV/0!</v>
      </c>
      <c r="AU9" s="250"/>
      <c r="AV9" s="250"/>
      <c r="AW9" s="251"/>
      <c r="AX9" s="242"/>
      <c r="AY9" s="242"/>
      <c r="AZ9" s="242"/>
    </row>
    <row r="10" ht="12.75" hidden="1" customHeight="1">
      <c r="A10" s="242"/>
      <c r="B10" s="247"/>
      <c r="C10" s="262"/>
      <c r="D10" s="262"/>
      <c r="E10" s="262"/>
      <c r="F10" s="262"/>
      <c r="G10" s="262"/>
      <c r="H10" s="262"/>
      <c r="I10" s="262"/>
      <c r="J10" s="249"/>
      <c r="K10" s="250"/>
      <c r="L10" s="250"/>
      <c r="M10" s="251"/>
      <c r="N10" s="249"/>
      <c r="O10" s="250"/>
      <c r="P10" s="250"/>
      <c r="Q10" s="251"/>
      <c r="R10" s="249"/>
      <c r="S10" s="250"/>
      <c r="T10" s="250"/>
      <c r="U10" s="251"/>
      <c r="V10" s="249"/>
      <c r="W10" s="250"/>
      <c r="X10" s="250"/>
      <c r="Y10" s="251"/>
      <c r="Z10" s="249"/>
      <c r="AA10" s="250"/>
      <c r="AB10" s="250"/>
      <c r="AC10" s="251"/>
      <c r="AD10" s="249"/>
      <c r="AE10" s="250"/>
      <c r="AF10" s="250"/>
      <c r="AG10" s="251"/>
      <c r="AH10" s="249"/>
      <c r="AI10" s="250"/>
      <c r="AJ10" s="250"/>
      <c r="AK10" s="251"/>
      <c r="AL10" s="249"/>
      <c r="AM10" s="250"/>
      <c r="AN10" s="250"/>
      <c r="AO10" s="251"/>
      <c r="AP10" s="268"/>
      <c r="AQ10" s="269"/>
      <c r="AR10" s="269"/>
      <c r="AS10" s="270"/>
      <c r="AT10" s="249"/>
      <c r="AU10" s="250"/>
      <c r="AV10" s="250"/>
      <c r="AW10" s="251"/>
      <c r="AX10" s="242"/>
      <c r="AY10" s="242"/>
      <c r="AZ10" s="242"/>
    </row>
    <row r="11" ht="13.5" customHeight="1">
      <c r="A11" s="242"/>
      <c r="B11" s="247"/>
      <c r="C11" s="262"/>
      <c r="D11" s="262"/>
      <c r="E11" s="262"/>
      <c r="F11" s="262"/>
      <c r="G11" s="262"/>
      <c r="H11" s="262"/>
      <c r="I11" s="262"/>
      <c r="J11" s="249"/>
      <c r="K11" s="250"/>
      <c r="L11" s="250"/>
      <c r="M11" s="251"/>
      <c r="N11" s="249"/>
      <c r="O11" s="250"/>
      <c r="P11" s="250"/>
      <c r="Q11" s="251"/>
      <c r="R11" s="249"/>
      <c r="S11" s="250"/>
      <c r="T11" s="250"/>
      <c r="U11" s="251"/>
      <c r="V11" s="249"/>
      <c r="W11" s="250"/>
      <c r="X11" s="250"/>
      <c r="Y11" s="251"/>
      <c r="Z11" s="249"/>
      <c r="AA11" s="250"/>
      <c r="AB11" s="250"/>
      <c r="AC11" s="251"/>
      <c r="AD11" s="249"/>
      <c r="AE11" s="250"/>
      <c r="AF11" s="250"/>
      <c r="AG11" s="251"/>
      <c r="AH11" s="249"/>
      <c r="AI11" s="250"/>
      <c r="AJ11" s="250"/>
      <c r="AK11" s="251"/>
      <c r="AL11" s="249"/>
      <c r="AM11" s="250"/>
      <c r="AN11" s="250"/>
      <c r="AO11" s="251"/>
      <c r="AP11" s="268"/>
      <c r="AQ11" s="269"/>
      <c r="AR11" s="269"/>
      <c r="AS11" s="270"/>
      <c r="AT11" s="249"/>
      <c r="AU11" s="250"/>
      <c r="AV11" s="250"/>
      <c r="AW11" s="251"/>
      <c r="AX11" s="242"/>
      <c r="AY11" s="242"/>
      <c r="AZ11" s="242"/>
    </row>
    <row r="12" ht="13.5" hidden="1" customHeight="1">
      <c r="A12" s="242"/>
      <c r="B12" s="247"/>
      <c r="C12" s="262"/>
      <c r="D12" s="262"/>
      <c r="E12" s="262"/>
      <c r="F12" s="262"/>
      <c r="G12" s="262"/>
      <c r="H12" s="262"/>
      <c r="I12" s="262"/>
      <c r="J12" s="254"/>
      <c r="K12" s="255"/>
      <c r="L12" s="255"/>
      <c r="M12" s="256"/>
      <c r="N12" s="254"/>
      <c r="O12" s="255"/>
      <c r="P12" s="255"/>
      <c r="Q12" s="256"/>
      <c r="R12" s="254"/>
      <c r="S12" s="255"/>
      <c r="T12" s="255"/>
      <c r="U12" s="256"/>
      <c r="V12" s="254"/>
      <c r="W12" s="255"/>
      <c r="X12" s="255"/>
      <c r="Y12" s="256"/>
      <c r="Z12" s="254"/>
      <c r="AA12" s="255"/>
      <c r="AB12" s="255"/>
      <c r="AC12" s="256"/>
      <c r="AD12" s="254"/>
      <c r="AE12" s="255"/>
      <c r="AF12" s="255"/>
      <c r="AG12" s="256"/>
      <c r="AH12" s="254"/>
      <c r="AI12" s="255"/>
      <c r="AJ12" s="255"/>
      <c r="AK12" s="256"/>
      <c r="AL12" s="254"/>
      <c r="AM12" s="255"/>
      <c r="AN12" s="255"/>
      <c r="AO12" s="256"/>
      <c r="AP12" s="271"/>
      <c r="AQ12" s="272"/>
      <c r="AR12" s="272"/>
      <c r="AS12" s="273"/>
      <c r="AT12" s="254"/>
      <c r="AU12" s="255"/>
      <c r="AV12" s="255"/>
      <c r="AW12" s="256"/>
      <c r="AX12" s="242"/>
      <c r="AY12" s="242"/>
      <c r="AZ12" s="242"/>
    </row>
    <row r="13" ht="15.0" customHeight="1">
      <c r="A13" s="242"/>
      <c r="B13" s="247"/>
      <c r="C13" s="262"/>
      <c r="D13" s="262"/>
      <c r="E13" s="262"/>
      <c r="F13" s="246" t="s">
        <v>268</v>
      </c>
      <c r="G13" s="121"/>
      <c r="H13" s="121"/>
      <c r="I13" s="122"/>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t="str">
        <f t="array" ref="F14">MMULT(AT9:AW12,D3:G6)</f>
        <v>#DIV/0!</v>
      </c>
      <c r="G14" s="269"/>
      <c r="H14" s="269"/>
      <c r="I14" s="270"/>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c r="G15" s="269"/>
      <c r="H15" s="269"/>
      <c r="I15" s="270"/>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c r="G16" s="269"/>
      <c r="H16" s="269"/>
      <c r="I16" s="270"/>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c r="G17" s="272"/>
      <c r="H17" s="272"/>
      <c r="I17" s="273"/>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2.7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0" customHeight="1">
      <c r="A19" s="242"/>
      <c r="B19" s="244" t="s">
        <v>269</v>
      </c>
      <c r="C19" s="279"/>
      <c r="D19" s="274"/>
      <c r="E19" s="275"/>
      <c r="F19" s="246" t="s">
        <v>270</v>
      </c>
      <c r="G19" s="121"/>
      <c r="H19" s="121"/>
      <c r="I19" s="122"/>
      <c r="J19" s="246" t="s">
        <v>271</v>
      </c>
      <c r="K19" s="121"/>
      <c r="L19" s="121"/>
      <c r="M19" s="122"/>
      <c r="N19" s="246" t="s">
        <v>272</v>
      </c>
      <c r="O19" s="121"/>
      <c r="P19" s="121"/>
      <c r="Q19" s="122"/>
      <c r="R19" s="246" t="s">
        <v>273</v>
      </c>
      <c r="S19" s="121"/>
      <c r="T19" s="121"/>
      <c r="U19" s="122"/>
      <c r="V19" s="246" t="s">
        <v>274</v>
      </c>
      <c r="W19" s="121"/>
      <c r="X19" s="121"/>
      <c r="Y19" s="122"/>
      <c r="Z19" s="246" t="s">
        <v>275</v>
      </c>
      <c r="AA19" s="121"/>
      <c r="AB19" s="121"/>
      <c r="AC19" s="122"/>
      <c r="AD19" s="246" t="s">
        <v>276</v>
      </c>
      <c r="AE19" s="121"/>
      <c r="AF19" s="121"/>
      <c r="AG19" s="122"/>
      <c r="AH19" s="246" t="s">
        <v>277</v>
      </c>
      <c r="AI19" s="121"/>
      <c r="AJ19" s="121"/>
      <c r="AK19" s="122"/>
      <c r="AL19" s="246" t="s">
        <v>278</v>
      </c>
      <c r="AM19" s="121"/>
      <c r="AN19" s="121"/>
      <c r="AO19" s="122"/>
      <c r="AP19" s="246" t="s">
        <v>279</v>
      </c>
      <c r="AQ19" s="121"/>
      <c r="AR19" s="121"/>
      <c r="AS19" s="122"/>
      <c r="AT19" s="279"/>
      <c r="AU19" s="274"/>
      <c r="AV19" s="274"/>
      <c r="AW19" s="275"/>
      <c r="AX19" s="242"/>
      <c r="AY19" s="242"/>
      <c r="AZ19" s="242"/>
    </row>
    <row r="20" ht="12.75" customHeight="1">
      <c r="A20" s="242"/>
      <c r="B20" s="247"/>
      <c r="C20" s="262"/>
      <c r="D20" s="262"/>
      <c r="E20" s="262"/>
      <c r="F20" s="249" t="str">
        <f t="array" ref="F20">MMULT(D3:G6,J20:M23)</f>
        <v>#DIV/0!</v>
      </c>
      <c r="G20" s="250"/>
      <c r="H20" s="250"/>
      <c r="I20" s="251"/>
      <c r="J20" s="268" t="str">
        <f t="array" ref="J20">MMULT(H3:K6,N20:Q23)</f>
        <v>#DIV/0!</v>
      </c>
      <c r="K20" s="269"/>
      <c r="L20" s="269"/>
      <c r="M20" s="270"/>
      <c r="N20" s="249" t="str">
        <f t="array" ref="N20">MMULT(L3:O6,R20:U23)</f>
        <v>#DIV/0!</v>
      </c>
      <c r="O20" s="250"/>
      <c r="P20" s="250"/>
      <c r="Q20" s="251"/>
      <c r="R20" s="249" t="str">
        <f t="array" ref="R20">MMULT(P3:S6,V20:Y23)</f>
        <v>#DIV/0!</v>
      </c>
      <c r="S20" s="250"/>
      <c r="T20" s="250"/>
      <c r="U20" s="251"/>
      <c r="V20" s="249" t="str">
        <f t="array" ref="V20">MMULT(T3:W6,Z20:AC23)</f>
        <v>#DIV/0!</v>
      </c>
      <c r="W20" s="250"/>
      <c r="X20" s="250"/>
      <c r="Y20" s="251"/>
      <c r="Z20" s="249">
        <f t="array" ref="Z20:AC23">MMULT(X3:AA6,AD20:AG23)</f>
        <v>1</v>
      </c>
      <c r="AA20" s="250">
        <v>0.0</v>
      </c>
      <c r="AB20" s="250">
        <v>0.0</v>
      </c>
      <c r="AC20" s="251">
        <v>0.0</v>
      </c>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c r="G21" s="250"/>
      <c r="H21" s="250"/>
      <c r="I21" s="251"/>
      <c r="J21" s="268"/>
      <c r="K21" s="269"/>
      <c r="L21" s="269"/>
      <c r="M21" s="270"/>
      <c r="N21" s="249"/>
      <c r="O21" s="250"/>
      <c r="P21" s="250"/>
      <c r="Q21" s="251"/>
      <c r="R21" s="249"/>
      <c r="S21" s="250"/>
      <c r="T21" s="250"/>
      <c r="U21" s="251"/>
      <c r="V21" s="249"/>
      <c r="W21" s="250"/>
      <c r="X21" s="250"/>
      <c r="Y21" s="251"/>
      <c r="Z21" s="249">
        <v>0.0</v>
      </c>
      <c r="AA21" s="250">
        <v>1.0</v>
      </c>
      <c r="AB21" s="250">
        <v>0.0</v>
      </c>
      <c r="AC21" s="251">
        <v>0.0</v>
      </c>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c r="G22" s="250"/>
      <c r="H22" s="250"/>
      <c r="I22" s="251"/>
      <c r="J22" s="268"/>
      <c r="K22" s="269"/>
      <c r="L22" s="269"/>
      <c r="M22" s="270"/>
      <c r="N22" s="249"/>
      <c r="O22" s="250"/>
      <c r="P22" s="250"/>
      <c r="Q22" s="251"/>
      <c r="R22" s="249"/>
      <c r="S22" s="250"/>
      <c r="T22" s="250"/>
      <c r="U22" s="251"/>
      <c r="V22" s="249"/>
      <c r="W22" s="250"/>
      <c r="X22" s="250"/>
      <c r="Y22" s="251"/>
      <c r="Z22" s="249">
        <v>0.0</v>
      </c>
      <c r="AA22" s="250">
        <v>0.0</v>
      </c>
      <c r="AB22" s="250">
        <v>1.0</v>
      </c>
      <c r="AC22" s="251">
        <v>0.0</v>
      </c>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c r="G23" s="255"/>
      <c r="H23" s="255"/>
      <c r="I23" s="256"/>
      <c r="J23" s="271"/>
      <c r="K23" s="272"/>
      <c r="L23" s="272"/>
      <c r="M23" s="273"/>
      <c r="N23" s="254"/>
      <c r="O23" s="255"/>
      <c r="P23" s="255"/>
      <c r="Q23" s="256"/>
      <c r="R23" s="254"/>
      <c r="S23" s="255"/>
      <c r="T23" s="255"/>
      <c r="U23" s="256"/>
      <c r="V23" s="254"/>
      <c r="W23" s="255"/>
      <c r="X23" s="255"/>
      <c r="Y23" s="256"/>
      <c r="Z23" s="254">
        <v>0.0</v>
      </c>
      <c r="AA23" s="255">
        <v>0.0</v>
      </c>
      <c r="AB23" s="255">
        <v>0.0</v>
      </c>
      <c r="AC23" s="256">
        <v>1.0</v>
      </c>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0"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280</v>
      </c>
      <c r="AU24" s="121"/>
      <c r="AV24" s="121"/>
      <c r="AW24" s="122"/>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t="str">
        <f t="array" ref="AT25">MMULT(F20:I23,AV3:AY6)</f>
        <v>#DIV/0!</v>
      </c>
      <c r="AU25" s="269"/>
      <c r="AV25" s="269"/>
      <c r="AW25" s="270"/>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c r="AU26" s="269"/>
      <c r="AV26" s="269"/>
      <c r="AW26" s="270"/>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c r="AU27" s="269"/>
      <c r="AV27" s="269"/>
      <c r="AW27" s="270"/>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c r="AU28" s="272"/>
      <c r="AV28" s="272"/>
      <c r="AW28" s="273"/>
      <c r="AX28" s="242"/>
      <c r="AY28" s="242"/>
      <c r="AZ28" s="242"/>
    </row>
    <row r="29" ht="12.0"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0"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0"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0"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0"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0"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0"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0"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0"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0"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0"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0"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0"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0"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0"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0"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0"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0"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0"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0"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0"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0"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0"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0"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0"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0"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0"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0"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0"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0"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0"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0"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0"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0"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0"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0"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0"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0"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0"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0"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0"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0"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0"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0"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0"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0"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0"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0"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0"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0"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0"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0"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0"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0"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0"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0"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0"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0"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0"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0"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0"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0"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0"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0"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0"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0"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0"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0"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0"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0"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0"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0"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0"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0"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0"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0"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0"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0"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0"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0"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0"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0"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0"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0"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0"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0"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0"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0"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0"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0"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0"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0"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0"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0"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0"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0"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0"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0"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0"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0"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0"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0"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0"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0"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0"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0"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0"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0"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0"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0"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0"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0"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0"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0"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0"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0"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0"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0"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0"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0"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0"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0"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0"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0"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0"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0"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0"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0"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0"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0"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0"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0"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0"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0"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0"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0"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0"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0"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0"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0"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0"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0"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0"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0"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0"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0"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0"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0"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0"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0"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0"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0"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0"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0"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0"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0"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0"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0"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0"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0"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0"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0"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0"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0"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0"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0"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0"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0"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0"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0"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0"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0"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0"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0"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0"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0"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0"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0"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0"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0"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0"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0"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0"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0"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0"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0"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0"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0"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0"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0"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0"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0"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0"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0"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0"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0"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0"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0"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0"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0"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0"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0"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0"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0"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0"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0"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0"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0"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0"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0"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0"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0"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0"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0"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0"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0"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0"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0"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0"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0"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0"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0"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0"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0"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0"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0"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0"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0"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0"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0"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0"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0"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0"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0"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0"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0"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0"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0"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0"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0"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0"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0"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0"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0"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0"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0"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0"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0"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0"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0"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0"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0"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0"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0"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0"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0"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0"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0"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0"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0"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0"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0"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0"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0"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0"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0"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0"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0"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0"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0"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0"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0"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0"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0"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0"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0"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0"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0"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0"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0"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0"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0"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0"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0"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0"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0"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0"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0"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0"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0"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0"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0"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0"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0"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0"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0"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0"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0"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0"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0"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0"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0"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0"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0"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0"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0"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0"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0"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0"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0"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0"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0"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0"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0"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0"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0"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0"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0"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0"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0"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0"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0"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0"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0"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0"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0"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0"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0"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0"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0"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0"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0"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0"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0"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0"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0"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0"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0"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0"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0"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0"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0"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0"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0"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0"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0"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0"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0"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0"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0"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0"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0"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0"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0"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0"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0"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0"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0"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0"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0"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0"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0"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0"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0"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0"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0"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0"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0"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0"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0"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0"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0"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0"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0"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0"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0"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0"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0"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0"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0"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0"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0"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0"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0"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0"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0"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0"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0"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0"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0"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0"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0"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0"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0"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0"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0"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0"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0"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0"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0"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0"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0"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0"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0"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0"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0"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0"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0"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0"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0"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0"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0"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0"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0"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0"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0"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0"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0"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0"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0"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0"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0"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0"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0"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0"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0"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0"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0"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0"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0"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0"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0"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0"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0"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0"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0"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0"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0"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0"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0"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0"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0"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0"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0"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0"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0"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0"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0"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0"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0"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0"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0"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0"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0"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0"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0"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0"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0"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0"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0"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0"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0"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0"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0"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0"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0"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0"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0"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0"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0"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0"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0"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0"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0"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0"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0"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0"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0"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0"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0"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0"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0"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0"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0"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0"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0"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0"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0"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0"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0"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0"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0"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0"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0"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0"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0"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0"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0"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0"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0"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0"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0"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0"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0"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0"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0"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0"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0"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0"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0"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0"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0"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0"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0"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0"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0"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0"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0"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0"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0"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0"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0"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0"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0"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0"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0"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0"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0"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0"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0"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0"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0"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0"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0"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0"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0"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0"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0"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0"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0"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0"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0"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0"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0"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0"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0"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0"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0"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0"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0"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0"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0"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0"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0"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0"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0"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0"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0"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0"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0"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0"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0"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0"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0"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0"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0"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0"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0"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0"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0"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0"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0"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0"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0"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0"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0"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0"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0"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0"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0"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0"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0"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0"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0"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0"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0"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0"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0"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0"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0"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0"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0"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0"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0"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0"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0"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0"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0"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0"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0"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0"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0"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0"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0"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0"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0"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0"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0"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0"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0"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0"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0"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0"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0"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0"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0"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0"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0"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0"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0"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0"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0"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0"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0"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0"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0"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0"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0"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0"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0"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0"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0"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0"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0"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0"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0"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0"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0"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0"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0"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0"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0"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0"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0"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0"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0"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0"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0"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0"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0"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0"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0"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0"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0"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0"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0"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0"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0"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0"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0"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0"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0"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0"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0"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0"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0"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0"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0"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0"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0"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0"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0"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0"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0"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0"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0"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0"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0"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0"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0"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0"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0"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0"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0"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0"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0"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0"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0"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0"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0"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0"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0"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0"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0"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0"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0"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0"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0"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0"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0"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0"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0"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0"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0"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0"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0"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0"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0"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0"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0"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0"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0"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0"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0"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0"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0"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0"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0"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0"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0"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0"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0"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0"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0"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0"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0"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0"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0"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0"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0"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0"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0"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0"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0"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0"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0"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0"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0"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0"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0"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0"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0"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0"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0"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0"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0"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0"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0"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0"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0"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0"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0"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0"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0"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0"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0"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0"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0"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0"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0"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0"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0"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0"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0"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0"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0"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0"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0"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0"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0"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0"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0"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0"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0"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0"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0"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0"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0"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0"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0"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0"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0"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0"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0"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0"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0"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0"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0"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0"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0"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0"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0"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0"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0"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0"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0"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0"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0"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0"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0"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0"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0"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0"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0"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0"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0"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0"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0"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0"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0"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0"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0"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0"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0"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0"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0"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0"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0"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0"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0"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0"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0"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0"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0"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0"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0"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0"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0"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0"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0"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0"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0"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0"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0"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0"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0"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0"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0"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0"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0"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0"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0"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0"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0"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0"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0"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0"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0"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0"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0"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0"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0"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0"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0"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0"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0"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0"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0"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0"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0"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0"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0"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0"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0"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0"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0"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0"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0"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0"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0"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0"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0"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0"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0"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0"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0"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0"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0"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0"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0"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0"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0"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0"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0"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0"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0"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0"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0"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0"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0"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0"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0"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0"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0"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0"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0"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0"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0"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0"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0"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0"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0"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0"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0"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0"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0"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0"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0"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0"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0"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0"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0"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0"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0"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0"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0"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0"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0"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0"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0"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0"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0"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0"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0"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0"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0"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0"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0"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0"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0"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0"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0"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0"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0"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0"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0"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0"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0"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0"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0"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0"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0"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0"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0"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0"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0"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0"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0"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0"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0"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0"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0"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0"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0"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0"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0"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0"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0"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0"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0"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0"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0"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0"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0"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0"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0"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0"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0"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0"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0"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0"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0"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5"/>
    <col customWidth="1" min="19" max="26" width="8.0"/>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0" customHeight="1">
      <c r="A2" s="283"/>
      <c r="B2" s="284" t="s">
        <v>281</v>
      </c>
      <c r="C2" s="284" t="s">
        <v>282</v>
      </c>
      <c r="D2" s="283"/>
      <c r="E2" s="283"/>
      <c r="F2" s="283"/>
      <c r="G2" s="283"/>
      <c r="H2" s="283"/>
      <c r="I2" s="283"/>
      <c r="J2" s="283"/>
      <c r="K2" s="283"/>
      <c r="L2" s="283"/>
      <c r="M2" s="283"/>
      <c r="N2" s="283"/>
      <c r="O2" s="283"/>
      <c r="P2" s="283"/>
      <c r="Q2" s="283"/>
      <c r="R2" s="283"/>
      <c r="S2" s="283"/>
      <c r="T2" s="283"/>
      <c r="U2" s="283"/>
      <c r="V2" s="283"/>
      <c r="W2" s="283"/>
      <c r="X2" s="283"/>
      <c r="Y2" s="283"/>
      <c r="Z2" s="283"/>
    </row>
    <row r="3" ht="12.75" customHeight="1">
      <c r="A3" s="283"/>
      <c r="B3" s="285" t="s">
        <v>283</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2.7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284</v>
      </c>
      <c r="F5" s="288" t="s">
        <v>285</v>
      </c>
      <c r="G5" s="288" t="s">
        <v>286</v>
      </c>
      <c r="H5" s="288" t="s">
        <v>287</v>
      </c>
      <c r="I5" s="288" t="s">
        <v>288</v>
      </c>
      <c r="J5" s="288" t="s">
        <v>289</v>
      </c>
      <c r="K5" s="288" t="s">
        <v>290</v>
      </c>
      <c r="L5" s="288" t="s">
        <v>291</v>
      </c>
      <c r="M5" s="288" t="s">
        <v>292</v>
      </c>
      <c r="N5" s="288" t="s">
        <v>293</v>
      </c>
      <c r="O5" s="288" t="s">
        <v>294</v>
      </c>
      <c r="P5" s="289" t="s">
        <v>295</v>
      </c>
      <c r="Q5" s="283"/>
      <c r="R5" s="283"/>
      <c r="S5" s="283"/>
      <c r="T5" s="283"/>
      <c r="U5" s="283"/>
      <c r="V5" s="283"/>
      <c r="W5" s="283"/>
      <c r="X5" s="283"/>
      <c r="Y5" s="283"/>
      <c r="Z5" s="283"/>
    </row>
    <row r="6" ht="19.5" customHeight="1">
      <c r="A6" s="283"/>
      <c r="B6" s="290" t="s">
        <v>296</v>
      </c>
      <c r="C6" s="291" t="s">
        <v>297</v>
      </c>
      <c r="D6" s="292" t="s">
        <v>298</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299</v>
      </c>
      <c r="C7" s="297" t="s">
        <v>300</v>
      </c>
      <c r="D7" s="298" t="s">
        <v>301</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302</v>
      </c>
      <c r="C8" s="303" t="s">
        <v>303</v>
      </c>
      <c r="D8" s="304" t="s">
        <v>304</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305</v>
      </c>
      <c r="C9" s="291" t="s">
        <v>306</v>
      </c>
      <c r="D9" s="292" t="s">
        <v>298</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307</v>
      </c>
      <c r="C10" s="308" t="s">
        <v>308</v>
      </c>
      <c r="D10" s="298" t="s">
        <v>301</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309</v>
      </c>
      <c r="S10" s="283"/>
      <c r="T10" s="283"/>
      <c r="U10" s="283"/>
      <c r="V10" s="283"/>
      <c r="W10" s="283"/>
      <c r="X10" s="283"/>
      <c r="Y10" s="283"/>
      <c r="Z10" s="283"/>
    </row>
    <row r="11" ht="19.5" customHeight="1">
      <c r="A11" s="283"/>
      <c r="B11" s="296" t="s">
        <v>310</v>
      </c>
      <c r="C11" s="297" t="s">
        <v>311</v>
      </c>
      <c r="D11" s="298" t="s">
        <v>301</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312</v>
      </c>
      <c r="C12" s="303" t="s">
        <v>313</v>
      </c>
      <c r="D12" s="304" t="s">
        <v>304</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314</v>
      </c>
      <c r="C13" s="291" t="s">
        <v>315</v>
      </c>
      <c r="D13" s="292" t="s">
        <v>298</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316</v>
      </c>
      <c r="C14" s="303" t="s">
        <v>317</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16.5" customHeight="1">
      <c r="A15" s="283"/>
      <c r="B15" s="302" t="s">
        <v>318</v>
      </c>
      <c r="C15" s="303" t="s">
        <v>319</v>
      </c>
      <c r="D15" s="304" t="s">
        <v>320</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2.7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0" customHeight="1">
      <c r="A17" s="283"/>
      <c r="B17" s="284" t="s">
        <v>321</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2.75" customHeight="1">
      <c r="A18" s="283"/>
      <c r="B18" s="285" t="s">
        <v>284</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0"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0"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0"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0"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0"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0"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0"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0"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0"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0"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0"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0"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0"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0"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0"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0"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0"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0"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0"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0"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0"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0"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0"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0"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0"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0"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0"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0"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0"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0"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0"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0"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0"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0"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0"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0"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0"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0"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0"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0"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0"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0"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0"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0"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0"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0"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0"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0"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0"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0"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0"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0"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0"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0"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0"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0"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0"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0"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0"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0"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0"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0"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0"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0"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0"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0"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0"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0"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0"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0"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0"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0"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0"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0"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0"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0"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0"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0"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0"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0"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0"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0"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0"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0"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0"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0"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0"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0"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0"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0"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0"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0"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0"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0"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0"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0"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0"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0"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0"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0"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0"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0"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0"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0"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0"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0"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0"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0"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0"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0"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0"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0"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0"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0"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0"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0"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0"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0"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0"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0"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0"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0"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0"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0"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0"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0"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0"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0"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0"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0"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0"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0"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0"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0"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0"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0"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0"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0"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0"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0"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0"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0"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0"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0"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0"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0"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0"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0"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0"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0"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0"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0"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0"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0"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0"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0"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0"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0"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0"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0"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0"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0"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0"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0"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0"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0"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0"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0"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0"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0"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0"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0"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0"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0"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0"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0"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0"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0"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0"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0"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0"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0"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0"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0"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0"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0"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0"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0"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0"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0"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0"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0"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0"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0"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0"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0"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0"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0"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0"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0"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0"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0"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0"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0"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0"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0"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0"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0"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0"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0"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0"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0"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0"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0"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0"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0"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0"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0"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0"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0"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0"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0"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0"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0"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0"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0"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0"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0"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0"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0"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0"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0"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0"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0"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0"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0"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0"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0"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0"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0"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0"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0"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0"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0"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0"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0"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0"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0"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0"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0"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0"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0"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0"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0"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0"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0"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0"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0"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0"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0"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0"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0"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0"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0"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0"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0"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0"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0"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0"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0"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0"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0"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0"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0"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0"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0"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0"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0"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0"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0"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0"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0"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0"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0"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0"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0"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0"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0"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0"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0"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0"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0"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0"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0"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0"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0"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0"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0"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0"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0"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0"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0"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0"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0"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0"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0"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0"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0"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0"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0"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0"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0"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0"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0"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0"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0"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0"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0"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0"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0"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0"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0"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0"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0"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0"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0"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0"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0"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0"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0"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0"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0"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0"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0"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0"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0"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0"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0"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0"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0"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0"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0"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0"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0"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0"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0"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0"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0"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0"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0"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0"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0"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0"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0"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0"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0"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0"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0"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0"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0"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0"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0"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0"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0"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0"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0"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0"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0"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0"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0"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0"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0"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0"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0"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0"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0"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0"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0"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0"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0"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0"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0"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0"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0"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0"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0"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0"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0"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0"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0"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0"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0"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0"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0"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0"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0"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0"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0"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0"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0"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0"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0"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0"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0"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0"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0"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0"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0"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0"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0"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0"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0"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0"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0"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0"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0"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0"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0"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0"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0"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0"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0"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0"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0"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0"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0"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0"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0"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0"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0"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0"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0"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0"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0"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0"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0"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0"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0"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0"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0"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0"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0"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0"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0"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0"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0"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0"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0"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0"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0"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0"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0"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0"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0"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0"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0"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0"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0"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0"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0"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0"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0"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0"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0"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0"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0"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0"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0"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0"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0"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0"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0"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0"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0"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0"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0"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0"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0"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0"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0"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0"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0"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0"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0"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0"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0"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0"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0"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0"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0"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0"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0"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0"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0"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0"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0"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0"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0"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0"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0"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0"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0"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0"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0"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0"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0"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0"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0"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0"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0"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0"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0"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0"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0"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0"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0"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0"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0"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0"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0"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0"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0"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0"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0"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0"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0"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0"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0"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0"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0"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0"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0"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0"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0"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0"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0"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0"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0"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0"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0"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0"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0"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0"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0"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0"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0"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0"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0"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0"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0"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0"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0"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0"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0"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0"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0"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0"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0"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0"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0"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0"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0"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0"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0"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0"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0"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0"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0"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0"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0"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0"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0"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0"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0"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0"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0"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0"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0"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0"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0"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0"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0"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0"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0"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0"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0"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0"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0"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0"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0"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0"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0"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0"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0"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0"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0"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0"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0"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0"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0"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0"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0"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0"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0"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0"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0"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0"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0"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0"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0"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0"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0"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0"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0"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0"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0"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0"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0"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0"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0"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0"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0"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0"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0"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0"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0"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0"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0"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0"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0"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0"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0"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0"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0"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0"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0"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0"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0"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0"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0"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0"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0"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0"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0"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0"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0"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0"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0"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0"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0"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0"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0"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0"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0"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0"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0"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0"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0"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0"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0"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0"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0"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0"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0"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0"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0"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0"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0"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0"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0"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0"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0"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0"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0"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0"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0"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0"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0"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0"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0"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0"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0"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0"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0"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0"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0"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0"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0"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0"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0"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0"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0"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0"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0"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0"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0"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0"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0"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0"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0"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0"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0"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0"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0"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0"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0"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0"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0"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0"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0"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0"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0"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0"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0"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0"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0"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0"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0"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0"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0"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0"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0"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0"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0"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0"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0"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0"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0"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0"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0"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0"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0"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0"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0"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0"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0"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0"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0"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0"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0"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0"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0"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0"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0"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0"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0"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0"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0"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0"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0"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0"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0"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0"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0"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0"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0"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0"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0"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0"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0"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0"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0"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0"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0"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0"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0"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0"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0"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0"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0"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0"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0"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0"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0"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0"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0"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0"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0"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0"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0"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0"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0"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0"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0"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0"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0"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0"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0"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0"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0"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0"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0"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0"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0"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0"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0"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0"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0"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0"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0"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0"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0"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0"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0"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0"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0"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0"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0"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0"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0"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0"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0"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0"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0"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0"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0"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0"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0"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0"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0"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0"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0"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0"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0"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0"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0"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0"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0"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0"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0"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0"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0"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0"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0"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0"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0"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0"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0"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0"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0"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0"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0"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0"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0"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0"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0"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0"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0"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0"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0"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0"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0"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0"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0"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0"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0"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0"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0"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0"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0"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0"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0"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0"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0"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0"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0"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0"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0"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0"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0"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0"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0"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0"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0"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0"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0"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0"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0"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0"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0"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0"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0"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0"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0"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0"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0"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0"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0"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0"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0"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0"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0"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0"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0"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0"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0"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0"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0"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0"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0"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0"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0"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0"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0"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0"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0"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0"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0"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0"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0"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0"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0"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0"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0"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0"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0"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0"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0"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0"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0"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0"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0"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0"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0"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0"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0"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0"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0"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0"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0"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0"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0"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0"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0"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0"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0"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0"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0"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0"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0"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0"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0"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0"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0"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0"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0"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0"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0"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0"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0"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0"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0"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0"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0"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0"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0"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0"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0"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0"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0"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0"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0"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0"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0"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0"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0"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0"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0"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0"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0"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0"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0"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0"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0"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0"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0"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0"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0"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0"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0"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0"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0"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0"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2.7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22" t="s">
        <v>284</v>
      </c>
      <c r="L3" s="121"/>
      <c r="M3" s="121"/>
      <c r="N3" s="121"/>
      <c r="O3" s="121"/>
      <c r="P3" s="121"/>
      <c r="Q3" s="122"/>
      <c r="R3" s="322" t="s">
        <v>285</v>
      </c>
      <c r="S3" s="121"/>
      <c r="T3" s="121"/>
      <c r="U3" s="121"/>
      <c r="V3" s="121"/>
      <c r="W3" s="121"/>
      <c r="X3" s="122"/>
      <c r="Y3" s="322" t="s">
        <v>286</v>
      </c>
      <c r="Z3" s="121"/>
      <c r="AA3" s="121"/>
      <c r="AB3" s="121"/>
      <c r="AC3" s="121"/>
      <c r="AD3" s="121"/>
      <c r="AE3" s="122"/>
      <c r="AF3" s="322" t="s">
        <v>287</v>
      </c>
      <c r="AG3" s="121"/>
      <c r="AH3" s="121"/>
      <c r="AI3" s="121"/>
      <c r="AJ3" s="121"/>
      <c r="AK3" s="121"/>
      <c r="AL3" s="122"/>
      <c r="AM3" s="322" t="s">
        <v>288</v>
      </c>
      <c r="AN3" s="121"/>
      <c r="AO3" s="121"/>
      <c r="AP3" s="121"/>
      <c r="AQ3" s="121"/>
      <c r="AR3" s="121"/>
      <c r="AS3" s="122"/>
      <c r="AT3" s="322" t="s">
        <v>289</v>
      </c>
      <c r="AU3" s="121"/>
      <c r="AV3" s="121"/>
      <c r="AW3" s="121"/>
      <c r="AX3" s="121"/>
      <c r="AY3" s="121"/>
      <c r="AZ3" s="122"/>
      <c r="BA3" s="322" t="s">
        <v>290</v>
      </c>
      <c r="BB3" s="121"/>
      <c r="BC3" s="121"/>
      <c r="BD3" s="121"/>
      <c r="BE3" s="121"/>
      <c r="BF3" s="121"/>
      <c r="BG3" s="122"/>
      <c r="BH3" s="322" t="s">
        <v>291</v>
      </c>
      <c r="BI3" s="121"/>
      <c r="BJ3" s="121"/>
      <c r="BK3" s="121"/>
      <c r="BL3" s="121"/>
      <c r="BM3" s="121"/>
      <c r="BN3" s="122"/>
      <c r="BO3" s="322" t="s">
        <v>292</v>
      </c>
      <c r="BP3" s="121"/>
      <c r="BQ3" s="121"/>
      <c r="BR3" s="121"/>
      <c r="BS3" s="121"/>
      <c r="BT3" s="121"/>
      <c r="BU3" s="122"/>
      <c r="BV3" s="322" t="s">
        <v>293</v>
      </c>
      <c r="BW3" s="121"/>
      <c r="BX3" s="121"/>
      <c r="BY3" s="121"/>
      <c r="BZ3" s="121"/>
      <c r="CA3" s="121"/>
      <c r="CB3" s="122"/>
      <c r="CC3" s="322" t="s">
        <v>294</v>
      </c>
      <c r="CD3" s="121"/>
      <c r="CE3" s="121"/>
      <c r="CF3" s="121"/>
      <c r="CG3" s="121"/>
      <c r="CH3" s="121"/>
      <c r="CI3" s="122"/>
      <c r="CJ3" s="322" t="s">
        <v>295</v>
      </c>
      <c r="CK3" s="121"/>
      <c r="CL3" s="121"/>
      <c r="CM3" s="121"/>
      <c r="CN3" s="121"/>
      <c r="CO3" s="121"/>
      <c r="CP3" s="122"/>
    </row>
    <row r="4" ht="17.25" customHeight="1">
      <c r="A4" s="323" t="s">
        <v>12</v>
      </c>
      <c r="B4" s="25"/>
      <c r="C4" s="284" t="s">
        <v>73</v>
      </c>
      <c r="D4" s="323" t="s">
        <v>74</v>
      </c>
      <c r="E4" s="122"/>
      <c r="F4" s="323" t="s">
        <v>322</v>
      </c>
      <c r="G4" s="122"/>
      <c r="H4" s="283"/>
      <c r="I4" s="283"/>
      <c r="J4" s="324" t="s">
        <v>323</v>
      </c>
      <c r="K4" s="325" t="s">
        <v>324</v>
      </c>
      <c r="L4" s="326" t="s">
        <v>325</v>
      </c>
      <c r="M4" s="327" t="s">
        <v>326</v>
      </c>
      <c r="N4" s="327" t="s">
        <v>327</v>
      </c>
      <c r="O4" s="327" t="s">
        <v>327</v>
      </c>
      <c r="P4" s="327" t="s">
        <v>328</v>
      </c>
      <c r="Q4" s="298" t="s">
        <v>329</v>
      </c>
      <c r="R4" s="325" t="s">
        <v>324</v>
      </c>
      <c r="S4" s="326" t="s">
        <v>330</v>
      </c>
      <c r="T4" s="327" t="s">
        <v>326</v>
      </c>
      <c r="U4" s="327" t="s">
        <v>327</v>
      </c>
      <c r="V4" s="327" t="s">
        <v>327</v>
      </c>
      <c r="W4" s="327" t="s">
        <v>331</v>
      </c>
      <c r="X4" s="298" t="s">
        <v>329</v>
      </c>
      <c r="Y4" s="325" t="s">
        <v>324</v>
      </c>
      <c r="Z4" s="326" t="s">
        <v>332</v>
      </c>
      <c r="AA4" s="327" t="s">
        <v>326</v>
      </c>
      <c r="AB4" s="327" t="s">
        <v>327</v>
      </c>
      <c r="AC4" s="327" t="s">
        <v>327</v>
      </c>
      <c r="AD4" s="327" t="s">
        <v>333</v>
      </c>
      <c r="AE4" s="298" t="s">
        <v>329</v>
      </c>
      <c r="AF4" s="325" t="s">
        <v>324</v>
      </c>
      <c r="AG4" s="326" t="s">
        <v>334</v>
      </c>
      <c r="AH4" s="327" t="s">
        <v>326</v>
      </c>
      <c r="AI4" s="327" t="s">
        <v>327</v>
      </c>
      <c r="AJ4" s="327" t="s">
        <v>327</v>
      </c>
      <c r="AK4" s="327" t="s">
        <v>335</v>
      </c>
      <c r="AL4" s="298" t="s">
        <v>329</v>
      </c>
      <c r="AM4" s="325" t="s">
        <v>324</v>
      </c>
      <c r="AN4" s="326" t="s">
        <v>336</v>
      </c>
      <c r="AO4" s="327" t="s">
        <v>326</v>
      </c>
      <c r="AP4" s="327" t="s">
        <v>327</v>
      </c>
      <c r="AQ4" s="327" t="s">
        <v>327</v>
      </c>
      <c r="AR4" s="327" t="s">
        <v>337</v>
      </c>
      <c r="AS4" s="298" t="s">
        <v>329</v>
      </c>
      <c r="AT4" s="325" t="s">
        <v>324</v>
      </c>
      <c r="AU4" s="326" t="s">
        <v>338</v>
      </c>
      <c r="AV4" s="327" t="s">
        <v>326</v>
      </c>
      <c r="AW4" s="327" t="s">
        <v>327</v>
      </c>
      <c r="AX4" s="327" t="s">
        <v>327</v>
      </c>
      <c r="AY4" s="327" t="s">
        <v>339</v>
      </c>
      <c r="AZ4" s="298" t="s">
        <v>329</v>
      </c>
      <c r="BA4" s="325" t="s">
        <v>324</v>
      </c>
      <c r="BB4" s="326" t="s">
        <v>340</v>
      </c>
      <c r="BC4" s="327" t="s">
        <v>326</v>
      </c>
      <c r="BD4" s="327" t="s">
        <v>327</v>
      </c>
      <c r="BE4" s="327" t="s">
        <v>327</v>
      </c>
      <c r="BF4" s="327" t="s">
        <v>341</v>
      </c>
      <c r="BG4" s="298" t="s">
        <v>329</v>
      </c>
      <c r="BH4" s="325" t="s">
        <v>324</v>
      </c>
      <c r="BI4" s="326" t="s">
        <v>342</v>
      </c>
      <c r="BJ4" s="327" t="s">
        <v>326</v>
      </c>
      <c r="BK4" s="327" t="s">
        <v>327</v>
      </c>
      <c r="BL4" s="327" t="s">
        <v>327</v>
      </c>
      <c r="BM4" s="327" t="s">
        <v>343</v>
      </c>
      <c r="BN4" s="298" t="s">
        <v>329</v>
      </c>
      <c r="BO4" s="325" t="s">
        <v>324</v>
      </c>
      <c r="BP4" s="326" t="s">
        <v>344</v>
      </c>
      <c r="BQ4" s="327" t="s">
        <v>326</v>
      </c>
      <c r="BR4" s="327" t="s">
        <v>327</v>
      </c>
      <c r="BS4" s="327" t="s">
        <v>327</v>
      </c>
      <c r="BT4" s="327" t="s">
        <v>345</v>
      </c>
      <c r="BU4" s="298" t="s">
        <v>329</v>
      </c>
      <c r="BV4" s="325" t="s">
        <v>324</v>
      </c>
      <c r="BW4" s="326" t="s">
        <v>346</v>
      </c>
      <c r="BX4" s="327" t="s">
        <v>326</v>
      </c>
      <c r="BY4" s="327" t="s">
        <v>327</v>
      </c>
      <c r="BZ4" s="327" t="s">
        <v>327</v>
      </c>
      <c r="CA4" s="327" t="s">
        <v>347</v>
      </c>
      <c r="CB4" s="298" t="s">
        <v>329</v>
      </c>
      <c r="CC4" s="325" t="s">
        <v>324</v>
      </c>
      <c r="CD4" s="326" t="s">
        <v>348</v>
      </c>
      <c r="CE4" s="327" t="s">
        <v>326</v>
      </c>
      <c r="CF4" s="327" t="s">
        <v>327</v>
      </c>
      <c r="CG4" s="327" t="s">
        <v>327</v>
      </c>
      <c r="CH4" s="327" t="s">
        <v>349</v>
      </c>
      <c r="CI4" s="298" t="s">
        <v>329</v>
      </c>
      <c r="CJ4" s="325" t="s">
        <v>324</v>
      </c>
      <c r="CK4" s="326" t="s">
        <v>350</v>
      </c>
      <c r="CL4" s="327" t="s">
        <v>326</v>
      </c>
      <c r="CM4" s="327" t="s">
        <v>327</v>
      </c>
      <c r="CN4" s="327" t="s">
        <v>327</v>
      </c>
      <c r="CO4" s="327" t="s">
        <v>351</v>
      </c>
      <c r="CP4" s="298" t="s">
        <v>329</v>
      </c>
    </row>
    <row r="5" ht="15.75" customHeight="1">
      <c r="A5" s="328"/>
      <c r="B5" s="127"/>
      <c r="C5" s="329" t="s">
        <v>13</v>
      </c>
      <c r="D5" s="330" t="s">
        <v>15</v>
      </c>
      <c r="E5" s="331" t="s">
        <v>17</v>
      </c>
      <c r="F5" s="332" t="s">
        <v>352</v>
      </c>
      <c r="G5" s="298" t="s">
        <v>18</v>
      </c>
      <c r="H5" s="283"/>
      <c r="I5" s="283"/>
      <c r="J5" s="333" t="s">
        <v>98</v>
      </c>
      <c r="K5" s="334" t="s">
        <v>298</v>
      </c>
      <c r="L5" s="335" t="s">
        <v>301</v>
      </c>
      <c r="M5" s="335" t="s">
        <v>301</v>
      </c>
      <c r="N5" s="335"/>
      <c r="O5" s="335"/>
      <c r="P5" s="335" t="s">
        <v>301</v>
      </c>
      <c r="Q5" s="304" t="s">
        <v>353</v>
      </c>
      <c r="R5" s="334" t="s">
        <v>298</v>
      </c>
      <c r="S5" s="335" t="s">
        <v>301</v>
      </c>
      <c r="T5" s="335" t="s">
        <v>301</v>
      </c>
      <c r="U5" s="335"/>
      <c r="V5" s="335"/>
      <c r="W5" s="335" t="s">
        <v>301</v>
      </c>
      <c r="X5" s="304" t="s">
        <v>354</v>
      </c>
      <c r="Y5" s="334" t="s">
        <v>298</v>
      </c>
      <c r="Z5" s="335" t="s">
        <v>301</v>
      </c>
      <c r="AA5" s="335" t="s">
        <v>301</v>
      </c>
      <c r="AB5" s="335"/>
      <c r="AC5" s="335"/>
      <c r="AD5" s="335" t="s">
        <v>301</v>
      </c>
      <c r="AE5" s="304" t="s">
        <v>355</v>
      </c>
      <c r="AF5" s="334" t="s">
        <v>298</v>
      </c>
      <c r="AG5" s="335" t="s">
        <v>301</v>
      </c>
      <c r="AH5" s="335" t="s">
        <v>301</v>
      </c>
      <c r="AI5" s="335"/>
      <c r="AJ5" s="335"/>
      <c r="AK5" s="335" t="s">
        <v>301</v>
      </c>
      <c r="AL5" s="304" t="s">
        <v>356</v>
      </c>
      <c r="AM5" s="334" t="s">
        <v>298</v>
      </c>
      <c r="AN5" s="335" t="s">
        <v>301</v>
      </c>
      <c r="AO5" s="335" t="s">
        <v>301</v>
      </c>
      <c r="AP5" s="335"/>
      <c r="AQ5" s="335"/>
      <c r="AR5" s="335" t="s">
        <v>301</v>
      </c>
      <c r="AS5" s="304" t="s">
        <v>357</v>
      </c>
      <c r="AT5" s="334" t="s">
        <v>298</v>
      </c>
      <c r="AU5" s="335" t="s">
        <v>301</v>
      </c>
      <c r="AV5" s="335" t="s">
        <v>301</v>
      </c>
      <c r="AW5" s="335"/>
      <c r="AX5" s="335"/>
      <c r="AY5" s="335" t="s">
        <v>301</v>
      </c>
      <c r="AZ5" s="304" t="s">
        <v>358</v>
      </c>
      <c r="BA5" s="334" t="s">
        <v>298</v>
      </c>
      <c r="BB5" s="335" t="s">
        <v>301</v>
      </c>
      <c r="BC5" s="335" t="s">
        <v>301</v>
      </c>
      <c r="BD5" s="335"/>
      <c r="BE5" s="335"/>
      <c r="BF5" s="335" t="s">
        <v>301</v>
      </c>
      <c r="BG5" s="304" t="s">
        <v>359</v>
      </c>
      <c r="BH5" s="334" t="s">
        <v>298</v>
      </c>
      <c r="BI5" s="335" t="s">
        <v>301</v>
      </c>
      <c r="BJ5" s="335" t="s">
        <v>301</v>
      </c>
      <c r="BK5" s="335"/>
      <c r="BL5" s="335"/>
      <c r="BM5" s="335" t="s">
        <v>301</v>
      </c>
      <c r="BN5" s="304" t="s">
        <v>360</v>
      </c>
      <c r="BO5" s="334" t="s">
        <v>298</v>
      </c>
      <c r="BP5" s="335" t="s">
        <v>301</v>
      </c>
      <c r="BQ5" s="335" t="s">
        <v>301</v>
      </c>
      <c r="BR5" s="335"/>
      <c r="BS5" s="335"/>
      <c r="BT5" s="335" t="s">
        <v>301</v>
      </c>
      <c r="BU5" s="304" t="s">
        <v>361</v>
      </c>
      <c r="BV5" s="334" t="s">
        <v>298</v>
      </c>
      <c r="BW5" s="335" t="s">
        <v>301</v>
      </c>
      <c r="BX5" s="335" t="s">
        <v>301</v>
      </c>
      <c r="BY5" s="335"/>
      <c r="BZ5" s="335"/>
      <c r="CA5" s="335" t="s">
        <v>301</v>
      </c>
      <c r="CB5" s="304" t="s">
        <v>362</v>
      </c>
      <c r="CC5" s="334" t="s">
        <v>298</v>
      </c>
      <c r="CD5" s="335" t="s">
        <v>301</v>
      </c>
      <c r="CE5" s="335" t="s">
        <v>301</v>
      </c>
      <c r="CF5" s="335"/>
      <c r="CG5" s="335"/>
      <c r="CH5" s="335" t="s">
        <v>301</v>
      </c>
      <c r="CI5" s="304" t="s">
        <v>363</v>
      </c>
      <c r="CJ5" s="334" t="s">
        <v>298</v>
      </c>
      <c r="CK5" s="335" t="s">
        <v>301</v>
      </c>
      <c r="CL5" s="335" t="s">
        <v>301</v>
      </c>
      <c r="CM5" s="335"/>
      <c r="CN5" s="335"/>
      <c r="CO5" s="335" t="s">
        <v>301</v>
      </c>
      <c r="CP5" s="304" t="s">
        <v>364</v>
      </c>
    </row>
    <row r="6" ht="15.0" customHeight="1">
      <c r="A6" s="336" t="s">
        <v>22</v>
      </c>
      <c r="B6" s="35"/>
      <c r="C6" s="337" t="s">
        <v>23</v>
      </c>
      <c r="D6" s="338" t="s">
        <v>25</v>
      </c>
      <c r="E6" s="304" t="s">
        <v>27</v>
      </c>
      <c r="F6" s="334" t="s">
        <v>98</v>
      </c>
      <c r="G6" s="304" t="s">
        <v>365</v>
      </c>
      <c r="H6" s="283"/>
      <c r="I6" s="284" t="s">
        <v>366</v>
      </c>
      <c r="J6" s="339"/>
      <c r="K6" s="340">
        <f>Condensa!$E$9</f>
        <v>20</v>
      </c>
      <c r="L6" s="341" t="str">
        <f t="shared" ref="L6:L18" si="1">pvs_t(K6)</f>
        <v>#NAME?</v>
      </c>
      <c r="M6" s="342">
        <f>Condensa!$E$11</f>
        <v>1389.18</v>
      </c>
      <c r="N6" s="343"/>
      <c r="O6" s="343"/>
      <c r="P6" s="343"/>
      <c r="Q6" s="344"/>
      <c r="R6" s="340">
        <f>Condensa!$F$9</f>
        <v>20</v>
      </c>
      <c r="S6" s="341" t="str">
        <f t="shared" ref="S6:S18" si="2">pvs_t(R6)</f>
        <v>#NAME?</v>
      </c>
      <c r="T6" s="342">
        <f>Condensa!$F$11</f>
        <v>1354.44</v>
      </c>
      <c r="U6" s="343"/>
      <c r="V6" s="343"/>
      <c r="W6" s="343"/>
      <c r="X6" s="344"/>
      <c r="Y6" s="340">
        <f>Condensa!$G$9</f>
        <v>20</v>
      </c>
      <c r="Z6" s="341" t="str">
        <f t="shared" ref="Z6:Z18" si="3">pvs_t(Y6)</f>
        <v>#NAME?</v>
      </c>
      <c r="AA6" s="342">
        <f>Condensa!$G$11</f>
        <v>1108.69</v>
      </c>
      <c r="AB6" s="343"/>
      <c r="AC6" s="343"/>
      <c r="AD6" s="343"/>
      <c r="AE6" s="344"/>
      <c r="AF6" s="340">
        <f>Condensa!$H$9</f>
        <v>20</v>
      </c>
      <c r="AG6" s="341" t="str">
        <f t="shared" ref="AG6:AG18" si="4">pvs_t(AF6)</f>
        <v>#NAME?</v>
      </c>
      <c r="AH6" s="342">
        <f>Condensa!$H$11</f>
        <v>1129.215</v>
      </c>
      <c r="AI6" s="343"/>
      <c r="AJ6" s="343"/>
      <c r="AK6" s="343"/>
      <c r="AL6" s="344"/>
      <c r="AM6" s="340">
        <f>Condensa!$I$9</f>
        <v>20</v>
      </c>
      <c r="AN6" s="341" t="str">
        <f t="shared" ref="AN6:AN18" si="5">pvs_t(AM6)</f>
        <v>#NAME?</v>
      </c>
      <c r="AO6" s="342">
        <f>Condensa!$I$11</f>
        <v>1382.015</v>
      </c>
      <c r="AP6" s="343"/>
      <c r="AQ6" s="343"/>
      <c r="AR6" s="343"/>
      <c r="AS6" s="344"/>
      <c r="AT6" s="340">
        <f>Condensa!$J$9</f>
        <v>21.1</v>
      </c>
      <c r="AU6" s="341" t="str">
        <f t="shared" ref="AU6:AU18" si="6">pvs_t(AT6)</f>
        <v>#NAME?</v>
      </c>
      <c r="AV6" s="342">
        <f>Condensa!$J$11</f>
        <v>1702</v>
      </c>
      <c r="AW6" s="343"/>
      <c r="AX6" s="343"/>
      <c r="AY6" s="343"/>
      <c r="AZ6" s="344"/>
      <c r="BA6" s="340">
        <f>Condensa!$K$9</f>
        <v>23.3</v>
      </c>
      <c r="BB6" s="341" t="str">
        <f t="shared" ref="BB6:BB18" si="7">pvs_t(BA6)</f>
        <v>#NAME?</v>
      </c>
      <c r="BC6" s="342">
        <f>Condensa!$K$11</f>
        <v>1837</v>
      </c>
      <c r="BD6" s="343"/>
      <c r="BE6" s="343"/>
      <c r="BF6" s="343"/>
      <c r="BG6" s="344"/>
      <c r="BH6" s="340">
        <f>Condensa!$L$9</f>
        <v>22.6</v>
      </c>
      <c r="BI6" s="341" t="str">
        <f t="shared" ref="BI6:BI18" si="8">pvs_t(BH6)</f>
        <v>#NAME?</v>
      </c>
      <c r="BJ6" s="342">
        <f>Condensa!$L$11</f>
        <v>1953</v>
      </c>
      <c r="BK6" s="343"/>
      <c r="BL6" s="343"/>
      <c r="BM6" s="343"/>
      <c r="BN6" s="344"/>
      <c r="BO6" s="340">
        <f>Condensa!$M$9</f>
        <v>20</v>
      </c>
      <c r="BP6" s="341" t="str">
        <f t="shared" ref="BP6:BP18" si="9">pvs_t(BO6)</f>
        <v>#NAME?</v>
      </c>
      <c r="BQ6" s="342">
        <f>Condensa!$M$11</f>
        <v>1557.46</v>
      </c>
      <c r="BR6" s="343"/>
      <c r="BS6" s="343"/>
      <c r="BT6" s="343"/>
      <c r="BU6" s="344"/>
      <c r="BV6" s="340">
        <f>Condensa!$N$9</f>
        <v>20</v>
      </c>
      <c r="BW6" s="341" t="str">
        <f t="shared" ref="BW6:BW18" si="10">pvs_t(BV6)</f>
        <v>#NAME?</v>
      </c>
      <c r="BX6" s="342">
        <f>Condensa!$N$11</f>
        <v>1509.67</v>
      </c>
      <c r="BY6" s="343"/>
      <c r="BZ6" s="343"/>
      <c r="CA6" s="343"/>
      <c r="CB6" s="344"/>
      <c r="CC6" s="340">
        <f>Condensa!$O$9</f>
        <v>20</v>
      </c>
      <c r="CD6" s="341" t="str">
        <f t="shared" ref="CD6:CD18" si="11">pvs_t(CC6)</f>
        <v>#NAME?</v>
      </c>
      <c r="CE6" s="342">
        <f>Condensa!$O$11</f>
        <v>1429.06</v>
      </c>
      <c r="CF6" s="343"/>
      <c r="CG6" s="343"/>
      <c r="CH6" s="343"/>
      <c r="CI6" s="344"/>
      <c r="CJ6" s="340">
        <f>Condensa!$P$9</f>
        <v>20</v>
      </c>
      <c r="CK6" s="341" t="str">
        <f t="shared" ref="CK6:CK18" si="12">pvs_t(CJ6)</f>
        <v>#NAME?</v>
      </c>
      <c r="CL6" s="342">
        <f>Condensa!$P$11</f>
        <v>1407.9</v>
      </c>
      <c r="CM6" s="343"/>
      <c r="CN6" s="343"/>
      <c r="CO6" s="343"/>
      <c r="CP6" s="344"/>
    </row>
    <row r="7" ht="12.0" customHeight="1">
      <c r="A7" s="345" t="str">
        <f>ROMAN(1)</f>
        <v>I</v>
      </c>
      <c r="B7" s="346" t="str">
        <f>'Calcoli componente'!B7</f>
        <v>piastrelle</v>
      </c>
      <c r="C7" s="347">
        <f>'Calcoli componente'!C7</f>
        <v>1</v>
      </c>
      <c r="D7" s="348" t="str">
        <f>'Calcoli componente'!E7</f>
        <v/>
      </c>
      <c r="E7" s="349">
        <f>'Calcoli componente'!G7</f>
        <v>1</v>
      </c>
      <c r="F7" s="350">
        <f>'Calcoli componente'!J7</f>
        <v>0</v>
      </c>
      <c r="G7" s="351">
        <f>'Calcoli componente'!K7</f>
        <v>0.01</v>
      </c>
      <c r="H7" s="283"/>
      <c r="I7" s="329" t="s">
        <v>367</v>
      </c>
      <c r="J7" s="352">
        <f>0</f>
        <v>0</v>
      </c>
      <c r="K7" s="353">
        <f>K6-(K$6-K$18)*0.25/$G$19</f>
        <v>14.15682968</v>
      </c>
      <c r="L7" s="310" t="str">
        <f t="shared" si="1"/>
        <v>#NAME?</v>
      </c>
      <c r="M7" s="310">
        <f>M6</f>
        <v>1389.18</v>
      </c>
      <c r="N7" s="310">
        <v>0.0</v>
      </c>
      <c r="O7" s="310" t="str">
        <f>IF(AND(N7&gt;0,N7=MAX(N$7:N$17)),1,0)</f>
        <v>#DIV/0!</v>
      </c>
      <c r="P7" s="310">
        <f>M7</f>
        <v>1389.18</v>
      </c>
      <c r="Q7" s="251" t="str">
        <f>0.0000000002*(P7-P8)/($J8-$J7)</f>
        <v>#DIV/0!</v>
      </c>
      <c r="R7" s="353">
        <f>R6-(R$6-R$18)*0.25/$G$19</f>
        <v>14.9915683</v>
      </c>
      <c r="S7" s="310" t="str">
        <f t="shared" si="2"/>
        <v>#NAME?</v>
      </c>
      <c r="T7" s="310">
        <f>T6</f>
        <v>1354.44</v>
      </c>
      <c r="U7" s="310">
        <v>0.0</v>
      </c>
      <c r="V7" s="310" t="str">
        <f>IF(AND(U7&gt;0,U7=MAX(U$7:U$17)),1,0)</f>
        <v>#DIV/0!</v>
      </c>
      <c r="W7" s="310">
        <f>T7</f>
        <v>1354.44</v>
      </c>
      <c r="X7" s="251" t="str">
        <f>0.0000000002*(W7-W8)/($J8-$J7)</f>
        <v>#DIV/0!</v>
      </c>
      <c r="Y7" s="353">
        <f>Y6-(Y$6-Y$18)*0.25/$G$19</f>
        <v>16.48217297</v>
      </c>
      <c r="Z7" s="310" t="str">
        <f t="shared" si="3"/>
        <v>#NAME?</v>
      </c>
      <c r="AA7" s="310">
        <f>AA6</f>
        <v>1108.69</v>
      </c>
      <c r="AB7" s="310">
        <v>0.0</v>
      </c>
      <c r="AC7" s="310" t="str">
        <f>IF(AND(AB7&gt;0,AB7=MAX(AB$7:AB$17)),1,0)</f>
        <v>#DIV/0!</v>
      </c>
      <c r="AD7" s="310">
        <f>AA7</f>
        <v>1108.69</v>
      </c>
      <c r="AE7" s="251" t="str">
        <f>0.0000000002*(AD7-AD8)/($J8-$J7)</f>
        <v>#DIV/0!</v>
      </c>
      <c r="AF7" s="353">
        <f>AF6-(AF$6-AF$18)*0.25/$G$19</f>
        <v>17.82371718</v>
      </c>
      <c r="AG7" s="310" t="str">
        <f t="shared" si="4"/>
        <v>#NAME?</v>
      </c>
      <c r="AH7" s="310">
        <f>AH6</f>
        <v>1129.215</v>
      </c>
      <c r="AI7" s="310">
        <v>0.0</v>
      </c>
      <c r="AJ7" s="310" t="str">
        <f>IF(AND(AI7&gt;0,AI7=MAX(AI$7:AI$17)),1,0)</f>
        <v>#DIV/0!</v>
      </c>
      <c r="AK7" s="310">
        <f>AH7</f>
        <v>1129.215</v>
      </c>
      <c r="AL7" s="251" t="str">
        <f>0.0000000002*(AK7-AK8)/($J8-$J7)</f>
        <v>#DIV/0!</v>
      </c>
      <c r="AM7" s="353">
        <f>AM6-(AM$6-AM$18)*0.25/$G$19</f>
        <v>19.01620092</v>
      </c>
      <c r="AN7" s="310" t="str">
        <f t="shared" si="5"/>
        <v>#NAME?</v>
      </c>
      <c r="AO7" s="310">
        <f>AO6</f>
        <v>1382.015</v>
      </c>
      <c r="AP7" s="310">
        <v>0.0</v>
      </c>
      <c r="AQ7" s="310" t="str">
        <f>IF(AND(AP7&gt;0,AP7=MAX(AP$7:AP$17)),1,0)</f>
        <v>#DIV/0!</v>
      </c>
      <c r="AR7" s="310">
        <f>AO7</f>
        <v>1382.015</v>
      </c>
      <c r="AS7" s="251" t="str">
        <f>0.0000000002*(AR7-AR8)/($J8-$J7)</f>
        <v>#DIV/0!</v>
      </c>
      <c r="AT7" s="353">
        <f>AT6-(AT$6-AT$18)*0.25/$G$19</f>
        <v>21.1</v>
      </c>
      <c r="AU7" s="310" t="str">
        <f t="shared" si="6"/>
        <v>#NAME?</v>
      </c>
      <c r="AV7" s="310">
        <f>AV6</f>
        <v>1702</v>
      </c>
      <c r="AW7" s="310">
        <v>0.0</v>
      </c>
      <c r="AX7" s="310" t="str">
        <f>IF(AND(AW7&gt;0,AW7=MAX(AW$7:AW$17)),1,0)</f>
        <v>#DIV/0!</v>
      </c>
      <c r="AY7" s="310">
        <f>AV7</f>
        <v>1702</v>
      </c>
      <c r="AZ7" s="251" t="str">
        <f>0.0000000002*(AY7-AY8)/($J8-$J7)</f>
        <v>#DIV/0!</v>
      </c>
      <c r="BA7" s="353">
        <f>BA6-(BA$6-BA$18)*0.25/$G$19</f>
        <v>23.3</v>
      </c>
      <c r="BB7" s="310" t="str">
        <f t="shared" si="7"/>
        <v>#NAME?</v>
      </c>
      <c r="BC7" s="310">
        <f>BC6</f>
        <v>1837</v>
      </c>
      <c r="BD7" s="310">
        <v>0.0</v>
      </c>
      <c r="BE7" s="310" t="str">
        <f>IF(AND(BD7&gt;0,BD7=MAX(BD$7:BD$17)),1,0)</f>
        <v>#DIV/0!</v>
      </c>
      <c r="BF7" s="310">
        <f>BC7</f>
        <v>1837</v>
      </c>
      <c r="BG7" s="251" t="str">
        <f>0.0000000002*(BF7-BF8)/($J8-$J7)</f>
        <v>#DIV/0!</v>
      </c>
      <c r="BH7" s="353">
        <f>BH6-(BH$6-BH$18)*0.25/$G$19</f>
        <v>22.6</v>
      </c>
      <c r="BI7" s="310" t="str">
        <f t="shared" si="8"/>
        <v>#NAME?</v>
      </c>
      <c r="BJ7" s="310">
        <f>BJ6</f>
        <v>1953</v>
      </c>
      <c r="BK7" s="310">
        <v>0.0</v>
      </c>
      <c r="BL7" s="310" t="str">
        <f>IF(AND(BK7&gt;0,BK7=MAX(BK$7:BK$17)),1,0)</f>
        <v>#DIV/0!</v>
      </c>
      <c r="BM7" s="310">
        <f>BJ7</f>
        <v>1953</v>
      </c>
      <c r="BN7" s="251" t="str">
        <f>0.0000000002*(BM7-BM8)/($J8-$J7)</f>
        <v>#DIV/0!</v>
      </c>
      <c r="BO7" s="353">
        <f>BO6-(BO$6-BO$18)*0.25/$G$19</f>
        <v>19.64225488</v>
      </c>
      <c r="BP7" s="310" t="str">
        <f t="shared" si="9"/>
        <v>#NAME?</v>
      </c>
      <c r="BQ7" s="310">
        <f>BQ6</f>
        <v>1557.46</v>
      </c>
      <c r="BR7" s="310">
        <v>0.0</v>
      </c>
      <c r="BS7" s="310" t="str">
        <f>IF(AND(BR7&gt;0,BR7=MAX(BR$7:BR$17)),1,0)</f>
        <v>#DIV/0!</v>
      </c>
      <c r="BT7" s="310">
        <f>BQ7</f>
        <v>1557.46</v>
      </c>
      <c r="BU7" s="251" t="str">
        <f>0.0000000002*(BT7-BT8)/($J8-$J7)</f>
        <v>#DIV/0!</v>
      </c>
      <c r="BV7" s="353">
        <f>BV6-(BV$6-BV$18)*0.25/$G$19</f>
        <v>17.79390508</v>
      </c>
      <c r="BW7" s="310" t="str">
        <f t="shared" si="10"/>
        <v>#NAME?</v>
      </c>
      <c r="BX7" s="310">
        <f>BX6</f>
        <v>1509.67</v>
      </c>
      <c r="BY7" s="310">
        <v>0.0</v>
      </c>
      <c r="BZ7" s="310" t="str">
        <f>IF(AND(BY7&gt;0,BY7=MAX(BY$7:BY$17)),1,0)</f>
        <v>#DIV/0!</v>
      </c>
      <c r="CA7" s="310">
        <f>BX7</f>
        <v>1509.67</v>
      </c>
      <c r="CB7" s="251" t="str">
        <f>0.0000000002*(CA7-CA8)/($J8-$J7)</f>
        <v>#DIV/0!</v>
      </c>
      <c r="CC7" s="353">
        <f>CC6-(CC$6-CC$18)*0.25/$G$19</f>
        <v>16.06480366</v>
      </c>
      <c r="CD7" s="310" t="str">
        <f t="shared" si="11"/>
        <v>#NAME?</v>
      </c>
      <c r="CE7" s="310">
        <f>CE6</f>
        <v>1429.06</v>
      </c>
      <c r="CF7" s="310">
        <v>0.0</v>
      </c>
      <c r="CG7" s="310" t="str">
        <f>IF(AND(CF7&gt;0,CF7=MAX(CF$7:CF$17)),1,0)</f>
        <v>#DIV/0!</v>
      </c>
      <c r="CH7" s="310">
        <f>CE7</f>
        <v>1429.06</v>
      </c>
      <c r="CI7" s="251" t="str">
        <f>0.0000000002*(CH7-CH8)/($J8-$J7)</f>
        <v>#DIV/0!</v>
      </c>
      <c r="CJ7" s="353">
        <f>CJ6-(CJ$6-CJ$18)*0.25/$G$19</f>
        <v>14.63382318</v>
      </c>
      <c r="CK7" s="310" t="str">
        <f t="shared" si="12"/>
        <v>#NAME?</v>
      </c>
      <c r="CL7" s="310">
        <f>CL6</f>
        <v>1407.9</v>
      </c>
      <c r="CM7" s="310">
        <v>0.0</v>
      </c>
      <c r="CN7" s="310" t="str">
        <f>IF(AND(CM7&gt;0,CM7=MAX(CM$7:CM$17)),1,0)</f>
        <v>#DIV/0!</v>
      </c>
      <c r="CO7" s="310">
        <f>CL7</f>
        <v>1407.9</v>
      </c>
      <c r="CP7" s="251" t="str">
        <f>0.0000000002*(CO7-CO8)/($J8-$J7)</f>
        <v>#DIV/0!</v>
      </c>
    </row>
    <row r="8" ht="12.0" customHeight="1">
      <c r="A8" s="332" t="str">
        <f>ROMAN(2)</f>
        <v>II</v>
      </c>
      <c r="B8" s="354" t="str">
        <f>IF('Caratteristiche componente'!C8&lt;&gt;"",'Caratteristiche componente'!C8,"")</f>
        <v>cls</v>
      </c>
      <c r="C8" s="355">
        <f>'Calcoli componente'!C8</f>
        <v>6</v>
      </c>
      <c r="D8" s="309" t="str">
        <f>'Calcoli componente'!E8</f>
        <v/>
      </c>
      <c r="E8" s="356">
        <f>'Calcoli componente'!G8</f>
        <v>0.44</v>
      </c>
      <c r="F8" s="357">
        <f>'Calcoli componente'!J8</f>
        <v>0</v>
      </c>
      <c r="G8" s="358">
        <f>'Calcoli componente'!K8</f>
        <v>0.1363636364</v>
      </c>
      <c r="H8" s="283"/>
      <c r="I8" s="329" t="s">
        <v>368</v>
      </c>
      <c r="J8" s="352">
        <f t="shared" ref="J8:J17" si="13">J7+F7</f>
        <v>0</v>
      </c>
      <c r="K8" s="353">
        <f t="shared" ref="K8:K17" si="14">K7-(K$6-K$18)*$G7/$G$19</f>
        <v>13.92310287</v>
      </c>
      <c r="L8" s="310" t="str">
        <f t="shared" si="1"/>
        <v>#NAME?</v>
      </c>
      <c r="M8" s="310" t="str">
        <f t="shared" ref="M8:M16" si="15">M$7-(M$7-M$17)*$J8/$F$17</f>
        <v>#DIV/0!</v>
      </c>
      <c r="N8" s="310" t="str">
        <f t="shared" ref="N8:N17" si="16">IF(M8&gt;L8,(M$7-L8)/$J8,0)</f>
        <v>#DIV/0!</v>
      </c>
      <c r="O8" s="310" t="str">
        <f>IF(AND(N8&gt;0,N8=MAX(N$7:N$17)),2,0)</f>
        <v>#DIV/0!</v>
      </c>
      <c r="P8" s="310">
        <f t="shared" ref="P8:P16" si="17">IF($F7=0,P7,IF($J8&lt;=N$20,P$7-(P$7-P$20)*$J8/N$20,IF(M8&gt;L8,L8,P7-(P7-P$17)*($J8-$J7)/($J$17-$J7))))</f>
        <v>1389.18</v>
      </c>
      <c r="Q8" s="251" t="str">
        <f t="shared" ref="Q8:Q16" si="18">IF($F8=0,Q7,0.0000000002*(P8-P9)/($J9-$J8))</f>
        <v>#DIV/0!</v>
      </c>
      <c r="R8" s="353">
        <f t="shared" ref="R8:R17" si="19">R7-(R$6-R$18)*$G7/$G$19</f>
        <v>14.79123103</v>
      </c>
      <c r="S8" s="310" t="str">
        <f t="shared" si="2"/>
        <v>#NAME?</v>
      </c>
      <c r="T8" s="310" t="str">
        <f t="shared" ref="T8:T16" si="20">T$7-(T$7-T$17)*$J8/$F$17</f>
        <v>#DIV/0!</v>
      </c>
      <c r="U8" s="310" t="str">
        <f t="shared" ref="U8:U17" si="21">IF(T8&gt;S8,(T$7-S8)/$J8,0)</f>
        <v>#DIV/0!</v>
      </c>
      <c r="V8" s="310" t="str">
        <f>IF(AND(U8&gt;0,U8=MAX(U$7:U$17)),2,0)</f>
        <v>#DIV/0!</v>
      </c>
      <c r="W8" s="310">
        <f t="shared" ref="W8:W16" si="22">IF($F7=0,W7,IF($J8&lt;=U$20,W$7-(W$7-W$20)*$J8/U$20,IF(T8&gt;S8,S8,W7-(W7-W$17)*($J8-$J7)/($J$17-$J7))))</f>
        <v>1354.44</v>
      </c>
      <c r="X8" s="251" t="str">
        <f t="shared" ref="X8:X16" si="23">IF($F8=0,X7,0.0000000002*(W8-W9)/($J9-$J8))</f>
        <v>#DIV/0!</v>
      </c>
      <c r="Y8" s="353">
        <f t="shared" ref="Y8:Y17" si="24">Y7-(Y$6-Y$18)*$G7/$G$19</f>
        <v>16.34145989</v>
      </c>
      <c r="Z8" s="310" t="str">
        <f t="shared" si="3"/>
        <v>#NAME?</v>
      </c>
      <c r="AA8" s="310" t="str">
        <f t="shared" ref="AA8:AA16" si="25">AA$7-(AA$7-AA$17)*$J8/$F$17</f>
        <v>#DIV/0!</v>
      </c>
      <c r="AB8" s="310" t="str">
        <f t="shared" ref="AB8:AB17" si="26">IF(AA8&gt;Z8,(AA$7-Z8)/$J8,0)</f>
        <v>#DIV/0!</v>
      </c>
      <c r="AC8" s="310" t="str">
        <f>IF(AND(AB8&gt;0,AB8=MAX(AB$7:AB$17)),2,0)</f>
        <v>#DIV/0!</v>
      </c>
      <c r="AD8" s="310">
        <f t="shared" ref="AD8:AD16" si="27">IF($F7=0,AD7,IF($J8&lt;=AB$20,AD$7-(AD$7-AD$20)*$J8/AB$20,IF(AA8&gt;Z8,Z8,AD7-(AD7-AD$17)*($J8-$J7)/($J$17-$J7))))</f>
        <v>1108.69</v>
      </c>
      <c r="AE8" s="251" t="str">
        <f t="shared" ref="AE8:AE16" si="28">IF($F8=0,AE7,0.0000000002*(AD8-AD9)/($J9-$J8))</f>
        <v>#DIV/0!</v>
      </c>
      <c r="AF8" s="353">
        <f t="shared" ref="AF8:AF17" si="29">AF7-(AF$6-AF$18)*$G7/$G$19</f>
        <v>17.73666586</v>
      </c>
      <c r="AG8" s="310" t="str">
        <f t="shared" si="4"/>
        <v>#NAME?</v>
      </c>
      <c r="AH8" s="310" t="str">
        <f t="shared" ref="AH8:AH16" si="30">AH$7-(AH$7-AH$17)*$J8/$F$17</f>
        <v>#DIV/0!</v>
      </c>
      <c r="AI8" s="310" t="str">
        <f t="shared" ref="AI8:AI17" si="31">IF(AH8&gt;AG8,(AH$7-AG8)/$J8,0)</f>
        <v>#DIV/0!</v>
      </c>
      <c r="AJ8" s="310" t="str">
        <f>IF(AND(AI8&gt;0,AI8=MAX(AI$7:AI$17)),2,0)</f>
        <v>#DIV/0!</v>
      </c>
      <c r="AK8" s="310">
        <f t="shared" ref="AK8:AK16" si="32">IF($F7=0,AK7,IF($J8&lt;=AI$20,AK$7-(AK$7-AK$20)*$J8/AI$20,IF(AH8&gt;AG8,AG8,AK7-(AK7-AK$17)*($J8-$J7)/($J$17-$J7))))</f>
        <v>1129.215</v>
      </c>
      <c r="AL8" s="251" t="str">
        <f t="shared" ref="AL8:AL16" si="33">IF($F8=0,AL7,0.0000000002*(AK8-AK9)/($J9-$J8))</f>
        <v>#DIV/0!</v>
      </c>
      <c r="AM8" s="353">
        <f t="shared" ref="AM8:AM17" si="34">AM7-(AM$6-AM$18)*$G7/$G$19</f>
        <v>18.97684895</v>
      </c>
      <c r="AN8" s="310" t="str">
        <f t="shared" si="5"/>
        <v>#NAME?</v>
      </c>
      <c r="AO8" s="310" t="str">
        <f t="shared" ref="AO8:AO16" si="35">AO$7-(AO$7-AO$17)*$J8/$F$17</f>
        <v>#DIV/0!</v>
      </c>
      <c r="AP8" s="310" t="str">
        <f t="shared" ref="AP8:AP17" si="36">IF(AO8&gt;AN8,(AO$7-AN8)/$J8,0)</f>
        <v>#DIV/0!</v>
      </c>
      <c r="AQ8" s="310" t="str">
        <f>IF(AND(AP8&gt;0,AP8=MAX(AP$7:AP$17)),2,0)</f>
        <v>#DIV/0!</v>
      </c>
      <c r="AR8" s="310">
        <f t="shared" ref="AR8:AR16" si="37">IF($F7=0,AR7,IF($J8&lt;=AP$20,AR$7-(AR$7-AR$20)*$J8/AP$20,IF(AO8&gt;AN8,AN8,AR7-(AR7-AR$17)*($J8-$J7)/($J$17-$J7))))</f>
        <v>1382.015</v>
      </c>
      <c r="AS8" s="251" t="str">
        <f t="shared" ref="AS8:AS16" si="38">IF($F8=0,AS7,0.0000000002*(AR8-AR9)/($J9-$J8))</f>
        <v>#DIV/0!</v>
      </c>
      <c r="AT8" s="353">
        <f t="shared" ref="AT8:AT17" si="39">AT7-(AT$6-AT$18)*$G7/$G$19</f>
        <v>21.1</v>
      </c>
      <c r="AU8" s="310" t="str">
        <f t="shared" si="6"/>
        <v>#NAME?</v>
      </c>
      <c r="AV8" s="310" t="str">
        <f t="shared" ref="AV8:AV16" si="40">AV$7-(AV$7-AV$17)*$J8/$F$17</f>
        <v>#DIV/0!</v>
      </c>
      <c r="AW8" s="310" t="str">
        <f t="shared" ref="AW8:AW17" si="41">IF(AV8&gt;AU8,(AV$7-AU8)/$J8,0)</f>
        <v>#DIV/0!</v>
      </c>
      <c r="AX8" s="310" t="str">
        <f>IF(AND(AW8&gt;0,AW8=MAX(AW$7:AW$17)),2,0)</f>
        <v>#DIV/0!</v>
      </c>
      <c r="AY8" s="310">
        <f t="shared" ref="AY8:AY16" si="42">IF($F7=0,AY7,IF($J8&lt;=AW$20,AY$7-(AY$7-AY$20)*$J8/AW$20,IF(AV8&gt;AU8,AU8,AY7-(AY7-AY$17)*($J8-$J7)/($J$17-$J7))))</f>
        <v>1702</v>
      </c>
      <c r="AZ8" s="251" t="str">
        <f t="shared" ref="AZ8:AZ16" si="43">IF($F8=0,AZ7,0.0000000002*(AY8-AY9)/($J9-$J8))</f>
        <v>#DIV/0!</v>
      </c>
      <c r="BA8" s="353">
        <f t="shared" ref="BA8:BA17" si="44">BA7-(BA$6-BA$18)*$G7/$G$19</f>
        <v>23.3</v>
      </c>
      <c r="BB8" s="310" t="str">
        <f t="shared" si="7"/>
        <v>#NAME?</v>
      </c>
      <c r="BC8" s="310" t="str">
        <f t="shared" ref="BC8:BC16" si="45">BC$7-(BC$7-BC$17)*$J8/$F$17</f>
        <v>#DIV/0!</v>
      </c>
      <c r="BD8" s="310" t="str">
        <f t="shared" ref="BD8:BD17" si="46">IF(BC8&gt;BB8,(BC$7-BB8)/$J8,0)</f>
        <v>#DIV/0!</v>
      </c>
      <c r="BE8" s="310" t="str">
        <f>IF(AND(BD8&gt;0,BD8=MAX(BD$7:BD$17)),2,0)</f>
        <v>#DIV/0!</v>
      </c>
      <c r="BF8" s="310">
        <f t="shared" ref="BF8:BF16" si="47">IF($F7=0,BF7,IF($J8&lt;=BD$20,BF$7-(BF$7-BF$20)*$J8/BD$20,IF(BC8&gt;BB8,BB8,BF7-(BF7-BF$17)*($J8-$J7)/($J$17-$J7))))</f>
        <v>1837</v>
      </c>
      <c r="BG8" s="251" t="str">
        <f t="shared" ref="BG8:BG16" si="48">IF($F8=0,BG7,0.0000000002*(BF8-BF9)/($J9-$J8))</f>
        <v>#DIV/0!</v>
      </c>
      <c r="BH8" s="353">
        <f t="shared" ref="BH8:BH17" si="49">BH7-(BH$6-BH$18)*$G7/$G$19</f>
        <v>22.6</v>
      </c>
      <c r="BI8" s="310" t="str">
        <f t="shared" si="8"/>
        <v>#NAME?</v>
      </c>
      <c r="BJ8" s="310" t="str">
        <f t="shared" ref="BJ8:BJ16" si="50">BJ$7-(BJ$7-BJ$17)*$J8/$F$17</f>
        <v>#DIV/0!</v>
      </c>
      <c r="BK8" s="310" t="str">
        <f t="shared" ref="BK8:BK17" si="51">IF(BJ8&gt;BI8,(BJ$7-BI8)/$J8,0)</f>
        <v>#DIV/0!</v>
      </c>
      <c r="BL8" s="310" t="str">
        <f>IF(AND(BK8&gt;0,BK8=MAX(BK$7:BK$17)),2,0)</f>
        <v>#DIV/0!</v>
      </c>
      <c r="BM8" s="310">
        <f t="shared" ref="BM8:BM16" si="52">IF($F7=0,BM7,IF($J8&lt;=BK$20,BM$7-(BM$7-BM$20)*$J8/BK$20,IF(BJ8&gt;BI8,BI8,BM7-(BM7-BM$17)*($J8-$J7)/($J$17-$J7))))</f>
        <v>1953</v>
      </c>
      <c r="BN8" s="251" t="str">
        <f t="shared" ref="BN8:BN16" si="53">IF($F8=0,BN7,0.0000000002*(BM8-BM9)/($J9-$J8))</f>
        <v>#DIV/0!</v>
      </c>
      <c r="BO8" s="353">
        <f t="shared" ref="BO8:BO17" si="54">BO7-(BO$6-BO$18)*$G7/$G$19</f>
        <v>19.62794507</v>
      </c>
      <c r="BP8" s="310" t="str">
        <f t="shared" si="9"/>
        <v>#NAME?</v>
      </c>
      <c r="BQ8" s="310" t="str">
        <f t="shared" ref="BQ8:BQ16" si="55">BQ$7-(BQ$7-BQ$17)*$J8/$F$17</f>
        <v>#DIV/0!</v>
      </c>
      <c r="BR8" s="310" t="str">
        <f t="shared" ref="BR8:BR17" si="56">IF(BQ8&gt;BP8,(BQ$7-BP8)/$J8,0)</f>
        <v>#DIV/0!</v>
      </c>
      <c r="BS8" s="310" t="str">
        <f>IF(AND(BR8&gt;0,BR8=MAX(BR$7:BR$17)),2,0)</f>
        <v>#DIV/0!</v>
      </c>
      <c r="BT8" s="310">
        <f t="shared" ref="BT8:BT16" si="57">IF($F7=0,BT7,IF($J8&lt;=BR$20,BT$7-(BT$7-BT$20)*$J8/BR$20,IF(BQ8&gt;BP8,BP8,BT7-(BT7-BT$17)*($J8-$J7)/($J$17-$J7))))</f>
        <v>1557.46</v>
      </c>
      <c r="BU8" s="251" t="str">
        <f t="shared" ref="BU8:BU16" si="58">IF($F8=0,BU7,0.0000000002*(BT8-BT9)/($J9-$J8))</f>
        <v>#DIV/0!</v>
      </c>
      <c r="BV8" s="353">
        <f t="shared" ref="BV8:BV17" si="59">BV7-(BV$6-BV$18)*$G7/$G$19</f>
        <v>17.70566129</v>
      </c>
      <c r="BW8" s="310" t="str">
        <f t="shared" si="10"/>
        <v>#NAME?</v>
      </c>
      <c r="BX8" s="310" t="str">
        <f t="shared" ref="BX8:BX16" si="60">BX$7-(BX$7-BX$17)*$J8/$F$17</f>
        <v>#DIV/0!</v>
      </c>
      <c r="BY8" s="310" t="str">
        <f t="shared" ref="BY8:BY17" si="61">IF(BX8&gt;BW8,(BX$7-BW8)/$J8,0)</f>
        <v>#DIV/0!</v>
      </c>
      <c r="BZ8" s="310" t="str">
        <f>IF(AND(BY8&gt;0,BY8=MAX(BY$7:BY$17)),2,0)</f>
        <v>#DIV/0!</v>
      </c>
      <c r="CA8" s="310">
        <f t="shared" ref="CA8:CA16" si="62">IF($F7=0,CA7,IF($J8&lt;=BY$20,CA$7-(CA$7-CA$20)*$J8/BY$20,IF(BX8&gt;BW8,BW8,CA7-(CA7-CA$17)*($J8-$J7)/($J$17-$J7))))</f>
        <v>1509.67</v>
      </c>
      <c r="CB8" s="251" t="str">
        <f t="shared" ref="CB8:CB16" si="63">IF($F8=0,CB7,0.0000000002*(CA8-CA9)/($J9-$J8))</f>
        <v>#DIV/0!</v>
      </c>
      <c r="CC8" s="353">
        <f t="shared" ref="CC8:CC17" si="64">CC7-(CC$6-CC$18)*$G7/$G$19</f>
        <v>15.90739581</v>
      </c>
      <c r="CD8" s="310" t="str">
        <f t="shared" si="11"/>
        <v>#NAME?</v>
      </c>
      <c r="CE8" s="310" t="str">
        <f t="shared" ref="CE8:CE16" si="65">CE$7-(CE$7-CE$17)*$J8/$F$17</f>
        <v>#DIV/0!</v>
      </c>
      <c r="CF8" s="310" t="str">
        <f t="shared" ref="CF8:CF17" si="66">IF(CE8&gt;CD8,(CE$7-CD8)/$J8,0)</f>
        <v>#DIV/0!</v>
      </c>
      <c r="CG8" s="310" t="str">
        <f>IF(AND(CF8&gt;0,CF8=MAX(CF$7:CF$17)),2,0)</f>
        <v>#DIV/0!</v>
      </c>
      <c r="CH8" s="310">
        <f t="shared" ref="CH8:CH16" si="67">IF($F7=0,CH7,IF($J8&lt;=CF$20,CH$7-(CH$7-CH$20)*$J8/CF$20,IF(CE8&gt;CD8,CD8,CH7-(CH7-CH$17)*($J8-$J7)/($J$17-$J7))))</f>
        <v>1429.06</v>
      </c>
      <c r="CI8" s="251" t="str">
        <f t="shared" ref="CI8:CI16" si="68">IF($F8=0,CI7,0.0000000002*(CH8-CH9)/($J9-$J8))</f>
        <v>#DIV/0!</v>
      </c>
      <c r="CJ8" s="353">
        <f t="shared" ref="CJ8:CJ17" si="69">CJ7-(CJ$6-CJ$18)*$G7/$G$19</f>
        <v>14.4191761</v>
      </c>
      <c r="CK8" s="310" t="str">
        <f t="shared" si="12"/>
        <v>#NAME?</v>
      </c>
      <c r="CL8" s="310" t="str">
        <f t="shared" ref="CL8:CL16" si="70">CL$7-(CL$7-CL$17)*$J8/$F$17</f>
        <v>#DIV/0!</v>
      </c>
      <c r="CM8" s="310" t="str">
        <f t="shared" ref="CM8:CM17" si="71">IF(CL8&gt;CK8,(CL$7-CK8)/$J8,0)</f>
        <v>#DIV/0!</v>
      </c>
      <c r="CN8" s="310" t="str">
        <f>IF(AND(CM8&gt;0,CM8=MAX(CM$7:CM$17)),2,0)</f>
        <v>#DIV/0!</v>
      </c>
      <c r="CO8" s="310">
        <f t="shared" ref="CO8:CO16" si="72">IF($F7=0,CO7,IF($J8&lt;=CM$20,CO$7-(CO$7-CO$20)*$J8/CM$20,IF(CL8&gt;CK8,CK8,CO7-(CO7-CO$17)*($J8-$J7)/($J$17-$J7))))</f>
        <v>1407.9</v>
      </c>
      <c r="CP8" s="251" t="str">
        <f t="shared" ref="CP8:CP16" si="73">IF($F8=0,CP7,0.0000000002*(CO8-CO9)/($J9-$J8))</f>
        <v>#DIV/0!</v>
      </c>
    </row>
    <row r="9" ht="12.0" customHeight="1">
      <c r="A9" s="332" t="str">
        <f>ROMAN(3)</f>
        <v>III</v>
      </c>
      <c r="B9" s="354" t="str">
        <f>IF('Caratteristiche componente'!C9&lt;&gt;"",'Caratteristiche componente'!C9,"")</f>
        <v>solaio</v>
      </c>
      <c r="C9" s="355">
        <f>'Calcoli componente'!C9</f>
        <v>26</v>
      </c>
      <c r="D9" s="309" t="str">
        <f>'Calcoli componente'!E9</f>
        <v/>
      </c>
      <c r="E9" s="356">
        <f>'Calcoli componente'!G9</f>
        <v>0.6842105263</v>
      </c>
      <c r="F9" s="357">
        <f>'Calcoli componente'!J9</f>
        <v>0</v>
      </c>
      <c r="G9" s="358">
        <f>'Calcoli componente'!K9</f>
        <v>0.38</v>
      </c>
      <c r="H9" s="283"/>
      <c r="I9" s="329" t="s">
        <v>369</v>
      </c>
      <c r="J9" s="352">
        <f t="shared" si="13"/>
        <v>0</v>
      </c>
      <c r="K9" s="353">
        <f t="shared" si="14"/>
        <v>10.73591906</v>
      </c>
      <c r="L9" s="310" t="str">
        <f t="shared" si="1"/>
        <v>#NAME?</v>
      </c>
      <c r="M9" s="310" t="str">
        <f t="shared" si="15"/>
        <v>#DIV/0!</v>
      </c>
      <c r="N9" s="310" t="str">
        <f t="shared" si="16"/>
        <v>#DIV/0!</v>
      </c>
      <c r="O9" s="310" t="str">
        <f>IF(AND(N9&gt;0,N9=MAX(N$7:N$17)),3,0)</f>
        <v>#DIV/0!</v>
      </c>
      <c r="P9" s="310">
        <f t="shared" si="17"/>
        <v>1389.18</v>
      </c>
      <c r="Q9" s="251" t="str">
        <f t="shared" si="18"/>
        <v>#DIV/0!</v>
      </c>
      <c r="R9" s="353">
        <f t="shared" si="19"/>
        <v>12.05935919</v>
      </c>
      <c r="S9" s="310" t="str">
        <f t="shared" si="2"/>
        <v>#NAME?</v>
      </c>
      <c r="T9" s="310" t="str">
        <f t="shared" si="20"/>
        <v>#DIV/0!</v>
      </c>
      <c r="U9" s="310" t="str">
        <f t="shared" si="21"/>
        <v>#DIV/0!</v>
      </c>
      <c r="V9" s="310" t="str">
        <f>IF(AND(U9&gt;0,U9=MAX(U$7:U$17)),3,0)</f>
        <v>#DIV/0!</v>
      </c>
      <c r="W9" s="310">
        <f t="shared" si="22"/>
        <v>1354.44</v>
      </c>
      <c r="X9" s="251" t="str">
        <f t="shared" si="23"/>
        <v>#DIV/0!</v>
      </c>
      <c r="Y9" s="353">
        <f t="shared" si="24"/>
        <v>14.42264515</v>
      </c>
      <c r="Z9" s="310" t="str">
        <f t="shared" si="3"/>
        <v>#NAME?</v>
      </c>
      <c r="AA9" s="310" t="str">
        <f t="shared" si="25"/>
        <v>#DIV/0!</v>
      </c>
      <c r="AB9" s="310" t="str">
        <f t="shared" si="26"/>
        <v>#DIV/0!</v>
      </c>
      <c r="AC9" s="310" t="str">
        <f>IF(AND(AB9&gt;0,AB9=MAX(AB$7:AB$17)),3,0)</f>
        <v>#DIV/0!</v>
      </c>
      <c r="AD9" s="310">
        <f t="shared" si="27"/>
        <v>1108.69</v>
      </c>
      <c r="AE9" s="251" t="str">
        <f t="shared" si="28"/>
        <v>#DIV/0!</v>
      </c>
      <c r="AF9" s="353">
        <f t="shared" si="29"/>
        <v>16.54960251</v>
      </c>
      <c r="AG9" s="310" t="str">
        <f t="shared" si="4"/>
        <v>#NAME?</v>
      </c>
      <c r="AH9" s="310" t="str">
        <f t="shared" si="30"/>
        <v>#DIV/0!</v>
      </c>
      <c r="AI9" s="310" t="str">
        <f t="shared" si="31"/>
        <v>#DIV/0!</v>
      </c>
      <c r="AJ9" s="310" t="str">
        <f>IF(AND(AI9&gt;0,AI9=MAX(AI$7:AI$17)),3,0)</f>
        <v>#DIV/0!</v>
      </c>
      <c r="AK9" s="310">
        <f t="shared" si="32"/>
        <v>1129.215</v>
      </c>
      <c r="AL9" s="251" t="str">
        <f t="shared" si="33"/>
        <v>#DIV/0!</v>
      </c>
      <c r="AM9" s="353">
        <f t="shared" si="34"/>
        <v>18.44023127</v>
      </c>
      <c r="AN9" s="310" t="str">
        <f t="shared" si="5"/>
        <v>#NAME?</v>
      </c>
      <c r="AO9" s="310" t="str">
        <f t="shared" si="35"/>
        <v>#DIV/0!</v>
      </c>
      <c r="AP9" s="310" t="str">
        <f t="shared" si="36"/>
        <v>#DIV/0!</v>
      </c>
      <c r="AQ9" s="310" t="str">
        <f>IF(AND(AP9&gt;0,AP9=MAX(AP$7:AP$17)),3,0)</f>
        <v>#DIV/0!</v>
      </c>
      <c r="AR9" s="310">
        <f t="shared" si="37"/>
        <v>1382.015</v>
      </c>
      <c r="AS9" s="251" t="str">
        <f t="shared" si="38"/>
        <v>#DIV/0!</v>
      </c>
      <c r="AT9" s="353">
        <f t="shared" si="39"/>
        <v>21.1</v>
      </c>
      <c r="AU9" s="310" t="str">
        <f t="shared" si="6"/>
        <v>#NAME?</v>
      </c>
      <c r="AV9" s="310" t="str">
        <f t="shared" si="40"/>
        <v>#DIV/0!</v>
      </c>
      <c r="AW9" s="310" t="str">
        <f t="shared" si="41"/>
        <v>#DIV/0!</v>
      </c>
      <c r="AX9" s="310" t="str">
        <f>IF(AND(AW9&gt;0,AW9=MAX(AW$7:AW$17)),3,0)</f>
        <v>#DIV/0!</v>
      </c>
      <c r="AY9" s="310">
        <f t="shared" si="42"/>
        <v>1702</v>
      </c>
      <c r="AZ9" s="251" t="str">
        <f t="shared" si="43"/>
        <v>#DIV/0!</v>
      </c>
      <c r="BA9" s="353">
        <f t="shared" si="44"/>
        <v>23.3</v>
      </c>
      <c r="BB9" s="310" t="str">
        <f t="shared" si="7"/>
        <v>#NAME?</v>
      </c>
      <c r="BC9" s="310" t="str">
        <f t="shared" si="45"/>
        <v>#DIV/0!</v>
      </c>
      <c r="BD9" s="310" t="str">
        <f t="shared" si="46"/>
        <v>#DIV/0!</v>
      </c>
      <c r="BE9" s="310" t="str">
        <f>IF(AND(BD9&gt;0,BD9=MAX(BD$7:BD$17)),3,0)</f>
        <v>#DIV/0!</v>
      </c>
      <c r="BF9" s="310">
        <f t="shared" si="47"/>
        <v>1837</v>
      </c>
      <c r="BG9" s="251" t="str">
        <f t="shared" si="48"/>
        <v>#DIV/0!</v>
      </c>
      <c r="BH9" s="353">
        <f t="shared" si="49"/>
        <v>22.6</v>
      </c>
      <c r="BI9" s="310" t="str">
        <f t="shared" si="8"/>
        <v>#NAME?</v>
      </c>
      <c r="BJ9" s="310" t="str">
        <f t="shared" si="50"/>
        <v>#DIV/0!</v>
      </c>
      <c r="BK9" s="310" t="str">
        <f t="shared" si="51"/>
        <v>#DIV/0!</v>
      </c>
      <c r="BL9" s="310" t="str">
        <f>IF(AND(BK9&gt;0,BK9=MAX(BK$7:BK$17)),3,0)</f>
        <v>#DIV/0!</v>
      </c>
      <c r="BM9" s="310">
        <f t="shared" si="52"/>
        <v>1953</v>
      </c>
      <c r="BN9" s="251" t="str">
        <f t="shared" si="53"/>
        <v>#DIV/0!</v>
      </c>
      <c r="BO9" s="353">
        <f t="shared" si="54"/>
        <v>19.43281137</v>
      </c>
      <c r="BP9" s="310" t="str">
        <f t="shared" si="9"/>
        <v>#NAME?</v>
      </c>
      <c r="BQ9" s="310" t="str">
        <f t="shared" si="55"/>
        <v>#DIV/0!</v>
      </c>
      <c r="BR9" s="310" t="str">
        <f t="shared" si="56"/>
        <v>#DIV/0!</v>
      </c>
      <c r="BS9" s="310" t="str">
        <f>IF(AND(BR9&gt;0,BR9=MAX(BR$7:BR$17)),3,0)</f>
        <v>#DIV/0!</v>
      </c>
      <c r="BT9" s="310">
        <f t="shared" si="57"/>
        <v>1557.46</v>
      </c>
      <c r="BU9" s="251" t="str">
        <f t="shared" si="58"/>
        <v>#DIV/0!</v>
      </c>
      <c r="BV9" s="353">
        <f t="shared" si="59"/>
        <v>16.50233679</v>
      </c>
      <c r="BW9" s="310" t="str">
        <f t="shared" si="10"/>
        <v>#NAME?</v>
      </c>
      <c r="BX9" s="310" t="str">
        <f t="shared" si="60"/>
        <v>#DIV/0!</v>
      </c>
      <c r="BY9" s="310" t="str">
        <f t="shared" si="61"/>
        <v>#DIV/0!</v>
      </c>
      <c r="BZ9" s="310" t="str">
        <f>IF(AND(BY9&gt;0,BY9=MAX(BY$7:BY$17)),3,0)</f>
        <v>#DIV/0!</v>
      </c>
      <c r="CA9" s="310">
        <f t="shared" si="62"/>
        <v>1509.67</v>
      </c>
      <c r="CB9" s="251" t="str">
        <f t="shared" si="63"/>
        <v>#DIV/0!</v>
      </c>
      <c r="CC9" s="353">
        <f t="shared" si="64"/>
        <v>13.76092508</v>
      </c>
      <c r="CD9" s="310" t="str">
        <f t="shared" si="11"/>
        <v>#NAME?</v>
      </c>
      <c r="CE9" s="310" t="str">
        <f t="shared" si="65"/>
        <v>#DIV/0!</v>
      </c>
      <c r="CF9" s="310" t="str">
        <f t="shared" si="66"/>
        <v>#DIV/0!</v>
      </c>
      <c r="CG9" s="310" t="str">
        <f>IF(AND(CF9&gt;0,CF9=MAX(CF$7:CF$17)),3,0)</f>
        <v>#DIV/0!</v>
      </c>
      <c r="CH9" s="310">
        <f t="shared" si="67"/>
        <v>1429.06</v>
      </c>
      <c r="CI9" s="251" t="str">
        <f t="shared" si="68"/>
        <v>#DIV/0!</v>
      </c>
      <c r="CJ9" s="353">
        <f t="shared" si="69"/>
        <v>11.49217056</v>
      </c>
      <c r="CK9" s="310" t="str">
        <f t="shared" si="12"/>
        <v>#NAME?</v>
      </c>
      <c r="CL9" s="310" t="str">
        <f t="shared" si="70"/>
        <v>#DIV/0!</v>
      </c>
      <c r="CM9" s="310" t="str">
        <f t="shared" si="71"/>
        <v>#DIV/0!</v>
      </c>
      <c r="CN9" s="310" t="str">
        <f>IF(AND(CM9&gt;0,CM9=MAX(CM$7:CM$17)),3,0)</f>
        <v>#DIV/0!</v>
      </c>
      <c r="CO9" s="310">
        <f t="shared" si="72"/>
        <v>1407.9</v>
      </c>
      <c r="CP9" s="251" t="str">
        <f t="shared" si="73"/>
        <v>#DIV/0!</v>
      </c>
    </row>
    <row r="10" ht="12.0" customHeight="1">
      <c r="A10" s="332" t="str">
        <f>ROMAN(4)</f>
        <v>IV</v>
      </c>
      <c r="B10" s="354" t="str">
        <f>IF('Caratteristiche componente'!C10&lt;&gt;"",'Caratteristiche componente'!C10,"")</f>
        <v>intonaco</v>
      </c>
      <c r="C10" s="355">
        <f>'Calcoli componente'!C10</f>
        <v>2</v>
      </c>
      <c r="D10" s="309" t="str">
        <f>'Calcoli componente'!E10</f>
        <v/>
      </c>
      <c r="E10" s="356">
        <f>'Calcoli componente'!G10</f>
        <v>0.9</v>
      </c>
      <c r="F10" s="357">
        <f>'Calcoli componente'!J10</f>
        <v>0</v>
      </c>
      <c r="G10" s="358">
        <f>'Calcoli componente'!K10</f>
        <v>0.02222222222</v>
      </c>
      <c r="H10" s="283"/>
      <c r="I10" s="329" t="s">
        <v>370</v>
      </c>
      <c r="J10" s="352">
        <f t="shared" si="13"/>
        <v>0</v>
      </c>
      <c r="K10" s="353">
        <f t="shared" si="14"/>
        <v>1.854300169</v>
      </c>
      <c r="L10" s="310" t="str">
        <f t="shared" si="1"/>
        <v>#NAME?</v>
      </c>
      <c r="M10" s="310" t="str">
        <f t="shared" si="15"/>
        <v>#DIV/0!</v>
      </c>
      <c r="N10" s="310" t="str">
        <f t="shared" si="16"/>
        <v>#DIV/0!</v>
      </c>
      <c r="O10" s="310" t="str">
        <f>IF(AND(N10&gt;0,N10=MAX(N$7:N$17)),4,0)</f>
        <v>#DIV/0!</v>
      </c>
      <c r="P10" s="310">
        <f t="shared" si="17"/>
        <v>1389.18</v>
      </c>
      <c r="Q10" s="251" t="str">
        <f t="shared" si="18"/>
        <v>#DIV/0!</v>
      </c>
      <c r="R10" s="353">
        <f t="shared" si="19"/>
        <v>4.446543002</v>
      </c>
      <c r="S10" s="310" t="str">
        <f t="shared" si="2"/>
        <v>#NAME?</v>
      </c>
      <c r="T10" s="310" t="str">
        <f t="shared" si="20"/>
        <v>#DIV/0!</v>
      </c>
      <c r="U10" s="310" t="str">
        <f t="shared" si="21"/>
        <v>#DIV/0!</v>
      </c>
      <c r="V10" s="310" t="str">
        <f>IF(AND(U10&gt;0,U10=MAX(U$7:U$17)),4,0)</f>
        <v>#DIV/0!</v>
      </c>
      <c r="W10" s="310">
        <f t="shared" si="22"/>
        <v>1354.44</v>
      </c>
      <c r="X10" s="251" t="str">
        <f t="shared" si="23"/>
        <v>#DIV/0!</v>
      </c>
      <c r="Y10" s="353">
        <f t="shared" si="24"/>
        <v>9.075548061</v>
      </c>
      <c r="Z10" s="310" t="str">
        <f t="shared" si="3"/>
        <v>#NAME?</v>
      </c>
      <c r="AA10" s="310" t="str">
        <f t="shared" si="25"/>
        <v>#DIV/0!</v>
      </c>
      <c r="AB10" s="310" t="str">
        <f t="shared" si="26"/>
        <v>#DIV/0!</v>
      </c>
      <c r="AC10" s="310" t="str">
        <f>IF(AND(AB10&gt;0,AB10=MAX(AB$7:AB$17)),4,0)</f>
        <v>#DIV/0!</v>
      </c>
      <c r="AD10" s="310">
        <f t="shared" si="27"/>
        <v>1108.69</v>
      </c>
      <c r="AE10" s="251" t="str">
        <f t="shared" si="28"/>
        <v>#DIV/0!</v>
      </c>
      <c r="AF10" s="353">
        <f t="shared" si="29"/>
        <v>13.24165261</v>
      </c>
      <c r="AG10" s="310" t="str">
        <f t="shared" si="4"/>
        <v>#NAME?</v>
      </c>
      <c r="AH10" s="310" t="str">
        <f t="shared" si="30"/>
        <v>#DIV/0!</v>
      </c>
      <c r="AI10" s="310" t="str">
        <f t="shared" si="31"/>
        <v>#DIV/0!</v>
      </c>
      <c r="AJ10" s="310" t="str">
        <f>IF(AND(AI10&gt;0,AI10=MAX(AI$7:AI$17)),4,0)</f>
        <v>#DIV/0!</v>
      </c>
      <c r="AK10" s="310">
        <f t="shared" si="32"/>
        <v>1129.215</v>
      </c>
      <c r="AL10" s="251" t="str">
        <f t="shared" si="33"/>
        <v>#DIV/0!</v>
      </c>
      <c r="AM10" s="353">
        <f t="shared" si="34"/>
        <v>16.94485666</v>
      </c>
      <c r="AN10" s="310" t="str">
        <f t="shared" si="5"/>
        <v>#NAME?</v>
      </c>
      <c r="AO10" s="310" t="str">
        <f t="shared" si="35"/>
        <v>#DIV/0!</v>
      </c>
      <c r="AP10" s="310" t="str">
        <f t="shared" si="36"/>
        <v>#DIV/0!</v>
      </c>
      <c r="AQ10" s="310" t="str">
        <f>IF(AND(AP10&gt;0,AP10=MAX(AP$7:AP$17)),4,0)</f>
        <v>#DIV/0!</v>
      </c>
      <c r="AR10" s="310">
        <f t="shared" si="37"/>
        <v>1382.015</v>
      </c>
      <c r="AS10" s="251" t="str">
        <f t="shared" si="38"/>
        <v>#DIV/0!</v>
      </c>
      <c r="AT10" s="353">
        <f t="shared" si="39"/>
        <v>21.1</v>
      </c>
      <c r="AU10" s="310" t="str">
        <f t="shared" si="6"/>
        <v>#NAME?</v>
      </c>
      <c r="AV10" s="310" t="str">
        <f t="shared" si="40"/>
        <v>#DIV/0!</v>
      </c>
      <c r="AW10" s="310" t="str">
        <f t="shared" si="41"/>
        <v>#DIV/0!</v>
      </c>
      <c r="AX10" s="310" t="str">
        <f>IF(AND(AW10&gt;0,AW10=MAX(AW$7:AW$17)),4,0)</f>
        <v>#DIV/0!</v>
      </c>
      <c r="AY10" s="310">
        <f t="shared" si="42"/>
        <v>1702</v>
      </c>
      <c r="AZ10" s="251" t="str">
        <f t="shared" si="43"/>
        <v>#DIV/0!</v>
      </c>
      <c r="BA10" s="353">
        <f t="shared" si="44"/>
        <v>23.3</v>
      </c>
      <c r="BB10" s="310" t="str">
        <f t="shared" si="7"/>
        <v>#NAME?</v>
      </c>
      <c r="BC10" s="310" t="str">
        <f t="shared" si="45"/>
        <v>#DIV/0!</v>
      </c>
      <c r="BD10" s="310" t="str">
        <f t="shared" si="46"/>
        <v>#DIV/0!</v>
      </c>
      <c r="BE10" s="310" t="str">
        <f>IF(AND(BD10&gt;0,BD10=MAX(BD$7:BD$17)),4,0)</f>
        <v>#DIV/0!</v>
      </c>
      <c r="BF10" s="310">
        <f t="shared" si="47"/>
        <v>1837</v>
      </c>
      <c r="BG10" s="251" t="str">
        <f t="shared" si="48"/>
        <v>#DIV/0!</v>
      </c>
      <c r="BH10" s="353">
        <f t="shared" si="49"/>
        <v>22.6</v>
      </c>
      <c r="BI10" s="310" t="str">
        <f t="shared" si="8"/>
        <v>#NAME?</v>
      </c>
      <c r="BJ10" s="310" t="str">
        <f t="shared" si="50"/>
        <v>#DIV/0!</v>
      </c>
      <c r="BK10" s="310" t="str">
        <f t="shared" si="51"/>
        <v>#DIV/0!</v>
      </c>
      <c r="BL10" s="310" t="str">
        <f>IF(AND(BK10&gt;0,BK10=MAX(BK$7:BK$17)),4,0)</f>
        <v>#DIV/0!</v>
      </c>
      <c r="BM10" s="310">
        <f t="shared" si="52"/>
        <v>1953</v>
      </c>
      <c r="BN10" s="251" t="str">
        <f t="shared" si="53"/>
        <v>#DIV/0!</v>
      </c>
      <c r="BO10" s="353">
        <f t="shared" si="54"/>
        <v>18.88903879</v>
      </c>
      <c r="BP10" s="310" t="str">
        <f t="shared" si="9"/>
        <v>#NAME?</v>
      </c>
      <c r="BQ10" s="310" t="str">
        <f t="shared" si="55"/>
        <v>#DIV/0!</v>
      </c>
      <c r="BR10" s="310" t="str">
        <f t="shared" si="56"/>
        <v>#DIV/0!</v>
      </c>
      <c r="BS10" s="310" t="str">
        <f>IF(AND(BR10&gt;0,BR10=MAX(BR$7:BR$17)),4,0)</f>
        <v>#DIV/0!</v>
      </c>
      <c r="BT10" s="310">
        <f t="shared" si="57"/>
        <v>1557.46</v>
      </c>
      <c r="BU10" s="251" t="str">
        <f t="shared" si="58"/>
        <v>#DIV/0!</v>
      </c>
      <c r="BV10" s="353">
        <f t="shared" si="59"/>
        <v>13.14907251</v>
      </c>
      <c r="BW10" s="310" t="str">
        <f t="shared" si="10"/>
        <v>#NAME?</v>
      </c>
      <c r="BX10" s="310" t="str">
        <f t="shared" si="60"/>
        <v>#DIV/0!</v>
      </c>
      <c r="BY10" s="310" t="str">
        <f t="shared" si="61"/>
        <v>#DIV/0!</v>
      </c>
      <c r="BZ10" s="310" t="str">
        <f>IF(AND(BY10&gt;0,BY10=MAX(BY$7:BY$17)),4,0)</f>
        <v>#DIV/0!</v>
      </c>
      <c r="CA10" s="310">
        <f t="shared" si="62"/>
        <v>1509.67</v>
      </c>
      <c r="CB10" s="251" t="str">
        <f t="shared" si="63"/>
        <v>#DIV/0!</v>
      </c>
      <c r="CC10" s="353">
        <f t="shared" si="64"/>
        <v>7.779426644</v>
      </c>
      <c r="CD10" s="310" t="str">
        <f t="shared" si="11"/>
        <v>#NAME?</v>
      </c>
      <c r="CE10" s="310" t="str">
        <f t="shared" si="65"/>
        <v>#DIV/0!</v>
      </c>
      <c r="CF10" s="310" t="str">
        <f t="shared" si="66"/>
        <v>#DIV/0!</v>
      </c>
      <c r="CG10" s="310" t="str">
        <f>IF(AND(CF10&gt;0,CF10=MAX(CF$7:CF$17)),4,0)</f>
        <v>#DIV/0!</v>
      </c>
      <c r="CH10" s="310">
        <f t="shared" si="67"/>
        <v>1429.06</v>
      </c>
      <c r="CI10" s="251" t="str">
        <f t="shared" si="68"/>
        <v>#DIV/0!</v>
      </c>
      <c r="CJ10" s="353">
        <f t="shared" si="69"/>
        <v>3.335581788</v>
      </c>
      <c r="CK10" s="310" t="str">
        <f t="shared" si="12"/>
        <v>#NAME?</v>
      </c>
      <c r="CL10" s="310" t="str">
        <f t="shared" si="70"/>
        <v>#DIV/0!</v>
      </c>
      <c r="CM10" s="310" t="str">
        <f t="shared" si="71"/>
        <v>#DIV/0!</v>
      </c>
      <c r="CN10" s="310" t="str">
        <f>IF(AND(CM10&gt;0,CM10=MAX(CM$7:CM$17)),4,0)</f>
        <v>#DIV/0!</v>
      </c>
      <c r="CO10" s="310">
        <f t="shared" si="72"/>
        <v>1407.9</v>
      </c>
      <c r="CP10" s="251" t="str">
        <f t="shared" si="73"/>
        <v>#DIV/0!</v>
      </c>
    </row>
    <row r="11" ht="12.0" customHeight="1">
      <c r="A11" s="332" t="str">
        <f>ROMAN(5)</f>
        <v>V</v>
      </c>
      <c r="B11" s="359" t="str">
        <f>IF('Caratteristiche componente'!C11&lt;&gt;"",'Caratteristiche componente'!C11,"")</f>
        <v/>
      </c>
      <c r="C11" s="355" t="str">
        <f>'Calcoli componente'!C11</f>
        <v/>
      </c>
      <c r="D11" s="309" t="str">
        <f>'Calcoli componente'!E11</f>
        <v/>
      </c>
      <c r="E11" s="356" t="str">
        <f>'Calcoli componente'!G11</f>
        <v/>
      </c>
      <c r="F11" s="357">
        <f>'Calcoli componente'!J11</f>
        <v>0</v>
      </c>
      <c r="G11" s="358">
        <f>'Calcoli componente'!K11</f>
        <v>0</v>
      </c>
      <c r="H11" s="283"/>
      <c r="I11" s="329" t="s">
        <v>371</v>
      </c>
      <c r="J11" s="352">
        <f t="shared" si="13"/>
        <v>0</v>
      </c>
      <c r="K11" s="353">
        <f t="shared" si="14"/>
        <v>1.334907251</v>
      </c>
      <c r="L11" s="310" t="str">
        <f t="shared" si="1"/>
        <v>#NAME?</v>
      </c>
      <c r="M11" s="310" t="str">
        <f t="shared" si="15"/>
        <v>#DIV/0!</v>
      </c>
      <c r="N11" s="310" t="str">
        <f t="shared" si="16"/>
        <v>#DIV/0!</v>
      </c>
      <c r="O11" s="310" t="str">
        <f>IF(AND(N11&gt;0,N11=MAX(N$7:N$17)),5,0)</f>
        <v>#DIV/0!</v>
      </c>
      <c r="P11" s="310">
        <f t="shared" si="17"/>
        <v>1389.18</v>
      </c>
      <c r="Q11" s="251" t="str">
        <f t="shared" si="18"/>
        <v>#DIV/0!</v>
      </c>
      <c r="R11" s="353">
        <f t="shared" si="19"/>
        <v>4.001349073</v>
      </c>
      <c r="S11" s="310" t="str">
        <f t="shared" si="2"/>
        <v>#NAME?</v>
      </c>
      <c r="T11" s="310" t="str">
        <f t="shared" si="20"/>
        <v>#DIV/0!</v>
      </c>
      <c r="U11" s="310" t="str">
        <f t="shared" si="21"/>
        <v>#DIV/0!</v>
      </c>
      <c r="V11" s="310" t="str">
        <f>IF(AND(U11&gt;0,U11=MAX(U$7:U$17)),5,0)</f>
        <v>#DIV/0!</v>
      </c>
      <c r="W11" s="310">
        <f t="shared" si="22"/>
        <v>1354.44</v>
      </c>
      <c r="X11" s="251" t="str">
        <f t="shared" si="23"/>
        <v>#DIV/0!</v>
      </c>
      <c r="Y11" s="353">
        <f t="shared" si="24"/>
        <v>8.762852325</v>
      </c>
      <c r="Z11" s="310" t="str">
        <f t="shared" si="3"/>
        <v>#NAME?</v>
      </c>
      <c r="AA11" s="310" t="str">
        <f t="shared" si="25"/>
        <v>#DIV/0!</v>
      </c>
      <c r="AB11" s="310" t="str">
        <f t="shared" si="26"/>
        <v>#DIV/0!</v>
      </c>
      <c r="AC11" s="310" t="str">
        <f>IF(AND(AB11&gt;0,AB11=MAX(AB$7:AB$17)),5,0)</f>
        <v>#DIV/0!</v>
      </c>
      <c r="AD11" s="310">
        <f t="shared" si="27"/>
        <v>1108.69</v>
      </c>
      <c r="AE11" s="251" t="str">
        <f t="shared" si="28"/>
        <v>#DIV/0!</v>
      </c>
      <c r="AF11" s="353">
        <f t="shared" si="29"/>
        <v>13.04820525</v>
      </c>
      <c r="AG11" s="310" t="str">
        <f t="shared" si="4"/>
        <v>#NAME?</v>
      </c>
      <c r="AH11" s="310" t="str">
        <f t="shared" si="30"/>
        <v>#DIV/0!</v>
      </c>
      <c r="AI11" s="310" t="str">
        <f t="shared" si="31"/>
        <v>#DIV/0!</v>
      </c>
      <c r="AJ11" s="310" t="str">
        <f>IF(AND(AI11&gt;0,AI11=MAX(AI$7:AI$17)),5,0)</f>
        <v>#DIV/0!</v>
      </c>
      <c r="AK11" s="310">
        <f t="shared" si="32"/>
        <v>1129.215</v>
      </c>
      <c r="AL11" s="251" t="str">
        <f t="shared" si="33"/>
        <v>#DIV/0!</v>
      </c>
      <c r="AM11" s="353">
        <f t="shared" si="34"/>
        <v>16.85740785</v>
      </c>
      <c r="AN11" s="310" t="str">
        <f t="shared" si="5"/>
        <v>#NAME?</v>
      </c>
      <c r="AO11" s="310" t="str">
        <f t="shared" si="35"/>
        <v>#DIV/0!</v>
      </c>
      <c r="AP11" s="310" t="str">
        <f t="shared" si="36"/>
        <v>#DIV/0!</v>
      </c>
      <c r="AQ11" s="310" t="str">
        <f>IF(AND(AP11&gt;0,AP11=MAX(AP$7:AP$17)),5,0)</f>
        <v>#DIV/0!</v>
      </c>
      <c r="AR11" s="310">
        <f t="shared" si="37"/>
        <v>1382.015</v>
      </c>
      <c r="AS11" s="251" t="str">
        <f t="shared" si="38"/>
        <v>#DIV/0!</v>
      </c>
      <c r="AT11" s="353">
        <f t="shared" si="39"/>
        <v>21.1</v>
      </c>
      <c r="AU11" s="310" t="str">
        <f t="shared" si="6"/>
        <v>#NAME?</v>
      </c>
      <c r="AV11" s="310" t="str">
        <f t="shared" si="40"/>
        <v>#DIV/0!</v>
      </c>
      <c r="AW11" s="310" t="str">
        <f t="shared" si="41"/>
        <v>#DIV/0!</v>
      </c>
      <c r="AX11" s="310" t="str">
        <f>IF(AND(AW11&gt;0,AW11=MAX(AW$7:AW$17)),5,0)</f>
        <v>#DIV/0!</v>
      </c>
      <c r="AY11" s="310">
        <f t="shared" si="42"/>
        <v>1702</v>
      </c>
      <c r="AZ11" s="251" t="str">
        <f t="shared" si="43"/>
        <v>#DIV/0!</v>
      </c>
      <c r="BA11" s="353">
        <f t="shared" si="44"/>
        <v>23.3</v>
      </c>
      <c r="BB11" s="310" t="str">
        <f t="shared" si="7"/>
        <v>#NAME?</v>
      </c>
      <c r="BC11" s="310" t="str">
        <f t="shared" si="45"/>
        <v>#DIV/0!</v>
      </c>
      <c r="BD11" s="310" t="str">
        <f t="shared" si="46"/>
        <v>#DIV/0!</v>
      </c>
      <c r="BE11" s="310" t="str">
        <f>IF(AND(BD11&gt;0,BD11=MAX(BD$7:BD$17)),5,0)</f>
        <v>#DIV/0!</v>
      </c>
      <c r="BF11" s="310">
        <f t="shared" si="47"/>
        <v>1837</v>
      </c>
      <c r="BG11" s="251" t="str">
        <f t="shared" si="48"/>
        <v>#DIV/0!</v>
      </c>
      <c r="BH11" s="353">
        <f t="shared" si="49"/>
        <v>22.6</v>
      </c>
      <c r="BI11" s="310" t="str">
        <f t="shared" si="8"/>
        <v>#NAME?</v>
      </c>
      <c r="BJ11" s="310" t="str">
        <f t="shared" si="50"/>
        <v>#DIV/0!</v>
      </c>
      <c r="BK11" s="310" t="str">
        <f t="shared" si="51"/>
        <v>#DIV/0!</v>
      </c>
      <c r="BL11" s="310" t="str">
        <f>IF(AND(BK11&gt;0,BK11=MAX(BK$7:BK$17)),5,0)</f>
        <v>#DIV/0!</v>
      </c>
      <c r="BM11" s="310">
        <f t="shared" si="52"/>
        <v>1953</v>
      </c>
      <c r="BN11" s="251" t="str">
        <f t="shared" si="53"/>
        <v>#DIV/0!</v>
      </c>
      <c r="BO11" s="353">
        <f t="shared" si="54"/>
        <v>18.85723922</v>
      </c>
      <c r="BP11" s="310" t="str">
        <f t="shared" si="9"/>
        <v>#NAME?</v>
      </c>
      <c r="BQ11" s="310" t="str">
        <f t="shared" si="55"/>
        <v>#DIV/0!</v>
      </c>
      <c r="BR11" s="310" t="str">
        <f t="shared" si="56"/>
        <v>#DIV/0!</v>
      </c>
      <c r="BS11" s="310" t="str">
        <f>IF(AND(BR11&gt;0,BR11=MAX(BR$7:BR$17)),5,0)</f>
        <v>#DIV/0!</v>
      </c>
      <c r="BT11" s="310">
        <f t="shared" si="57"/>
        <v>1557.46</v>
      </c>
      <c r="BU11" s="251" t="str">
        <f t="shared" si="58"/>
        <v>#DIV/0!</v>
      </c>
      <c r="BV11" s="353">
        <f t="shared" si="59"/>
        <v>12.95297519</v>
      </c>
      <c r="BW11" s="310" t="str">
        <f t="shared" si="10"/>
        <v>#NAME?</v>
      </c>
      <c r="BX11" s="310" t="str">
        <f t="shared" si="60"/>
        <v>#DIV/0!</v>
      </c>
      <c r="BY11" s="310" t="str">
        <f t="shared" si="61"/>
        <v>#DIV/0!</v>
      </c>
      <c r="BZ11" s="310" t="str">
        <f>IF(AND(BY11&gt;0,BY11=MAX(BY$7:BY$17)),5,0)</f>
        <v>#DIV/0!</v>
      </c>
      <c r="CA11" s="310">
        <f t="shared" si="62"/>
        <v>1509.67</v>
      </c>
      <c r="CB11" s="251" t="str">
        <f t="shared" si="63"/>
        <v>#DIV/0!</v>
      </c>
      <c r="CC11" s="353">
        <f t="shared" si="64"/>
        <v>7.429631414</v>
      </c>
      <c r="CD11" s="310" t="str">
        <f t="shared" si="11"/>
        <v>#NAME?</v>
      </c>
      <c r="CE11" s="310" t="str">
        <f t="shared" si="65"/>
        <v>#DIV/0!</v>
      </c>
      <c r="CF11" s="310" t="str">
        <f t="shared" si="66"/>
        <v>#DIV/0!</v>
      </c>
      <c r="CG11" s="310" t="str">
        <f>IF(AND(CF11&gt;0,CF11=MAX(CF$7:CF$17)),5,0)</f>
        <v>#DIV/0!</v>
      </c>
      <c r="CH11" s="310">
        <f t="shared" si="67"/>
        <v>1429.06</v>
      </c>
      <c r="CI11" s="251" t="str">
        <f t="shared" si="68"/>
        <v>#DIV/0!</v>
      </c>
      <c r="CJ11" s="353">
        <f t="shared" si="69"/>
        <v>2.858588292</v>
      </c>
      <c r="CK11" s="310" t="str">
        <f t="shared" si="12"/>
        <v>#NAME?</v>
      </c>
      <c r="CL11" s="310" t="str">
        <f t="shared" si="70"/>
        <v>#DIV/0!</v>
      </c>
      <c r="CM11" s="310" t="str">
        <f t="shared" si="71"/>
        <v>#DIV/0!</v>
      </c>
      <c r="CN11" s="310" t="str">
        <f>IF(AND(CM11&gt;0,CM11=MAX(CM$7:CM$17)),5,0)</f>
        <v>#DIV/0!</v>
      </c>
      <c r="CO11" s="310">
        <f t="shared" si="72"/>
        <v>1407.9</v>
      </c>
      <c r="CP11" s="251" t="str">
        <f t="shared" si="73"/>
        <v>#DIV/0!</v>
      </c>
    </row>
    <row r="12" ht="12.0" customHeight="1">
      <c r="A12" s="332" t="str">
        <f>ROMAN(6)</f>
        <v>VI</v>
      </c>
      <c r="B12" s="359" t="str">
        <f>IF('Caratteristiche componente'!C12&lt;&gt;"",'Caratteristiche componente'!C12,"")</f>
        <v/>
      </c>
      <c r="C12" s="355" t="str">
        <f>'Calcoli componente'!C12</f>
        <v/>
      </c>
      <c r="D12" s="309" t="str">
        <f>'Calcoli componente'!E12</f>
        <v/>
      </c>
      <c r="E12" s="356" t="str">
        <f>'Calcoli componente'!G12</f>
        <v/>
      </c>
      <c r="F12" s="357">
        <f>'Calcoli componente'!J12</f>
        <v>0</v>
      </c>
      <c r="G12" s="358">
        <f>'Calcoli componente'!K12</f>
        <v>0</v>
      </c>
      <c r="H12" s="283"/>
      <c r="I12" s="329" t="s">
        <v>372</v>
      </c>
      <c r="J12" s="352">
        <f t="shared" si="13"/>
        <v>0</v>
      </c>
      <c r="K12" s="353">
        <f t="shared" si="14"/>
        <v>1.334907251</v>
      </c>
      <c r="L12" s="310" t="str">
        <f t="shared" si="1"/>
        <v>#NAME?</v>
      </c>
      <c r="M12" s="310" t="str">
        <f t="shared" si="15"/>
        <v>#DIV/0!</v>
      </c>
      <c r="N12" s="310" t="str">
        <f t="shared" si="16"/>
        <v>#DIV/0!</v>
      </c>
      <c r="O12" s="310" t="str">
        <f>IF(AND(N12&gt;0,N12=MAX(N$7:N$17)),6,0)</f>
        <v>#DIV/0!</v>
      </c>
      <c r="P12" s="310">
        <f t="shared" si="17"/>
        <v>1389.18</v>
      </c>
      <c r="Q12" s="251" t="str">
        <f t="shared" si="18"/>
        <v>#DIV/0!</v>
      </c>
      <c r="R12" s="353">
        <f t="shared" si="19"/>
        <v>4.001349073</v>
      </c>
      <c r="S12" s="310" t="str">
        <f t="shared" si="2"/>
        <v>#NAME?</v>
      </c>
      <c r="T12" s="310" t="str">
        <f t="shared" si="20"/>
        <v>#DIV/0!</v>
      </c>
      <c r="U12" s="310" t="str">
        <f t="shared" si="21"/>
        <v>#DIV/0!</v>
      </c>
      <c r="V12" s="310" t="str">
        <f>IF(AND(U12&gt;0,U12=MAX(U$7:U$17)),6,0)</f>
        <v>#DIV/0!</v>
      </c>
      <c r="W12" s="310">
        <f t="shared" si="22"/>
        <v>1354.44</v>
      </c>
      <c r="X12" s="251" t="str">
        <f t="shared" si="23"/>
        <v>#DIV/0!</v>
      </c>
      <c r="Y12" s="353">
        <f t="shared" si="24"/>
        <v>8.762852325</v>
      </c>
      <c r="Z12" s="310" t="str">
        <f t="shared" si="3"/>
        <v>#NAME?</v>
      </c>
      <c r="AA12" s="310" t="str">
        <f t="shared" si="25"/>
        <v>#DIV/0!</v>
      </c>
      <c r="AB12" s="310" t="str">
        <f t="shared" si="26"/>
        <v>#DIV/0!</v>
      </c>
      <c r="AC12" s="310" t="str">
        <f>IF(AND(AB12&gt;0,AB12=MAX(AB$7:AB$17)),6,0)</f>
        <v>#DIV/0!</v>
      </c>
      <c r="AD12" s="310">
        <f t="shared" si="27"/>
        <v>1108.69</v>
      </c>
      <c r="AE12" s="251" t="str">
        <f t="shared" si="28"/>
        <v>#DIV/0!</v>
      </c>
      <c r="AF12" s="353">
        <f t="shared" si="29"/>
        <v>13.04820525</v>
      </c>
      <c r="AG12" s="310" t="str">
        <f t="shared" si="4"/>
        <v>#NAME?</v>
      </c>
      <c r="AH12" s="310" t="str">
        <f t="shared" si="30"/>
        <v>#DIV/0!</v>
      </c>
      <c r="AI12" s="310" t="str">
        <f t="shared" si="31"/>
        <v>#DIV/0!</v>
      </c>
      <c r="AJ12" s="310" t="str">
        <f>IF(AND(AI12&gt;0,AI12=MAX(AI$7:AI$17)),6,0)</f>
        <v>#DIV/0!</v>
      </c>
      <c r="AK12" s="310">
        <f t="shared" si="32"/>
        <v>1129.215</v>
      </c>
      <c r="AL12" s="251" t="str">
        <f t="shared" si="33"/>
        <v>#DIV/0!</v>
      </c>
      <c r="AM12" s="353">
        <f t="shared" si="34"/>
        <v>16.85740785</v>
      </c>
      <c r="AN12" s="310" t="str">
        <f t="shared" si="5"/>
        <v>#NAME?</v>
      </c>
      <c r="AO12" s="310" t="str">
        <f t="shared" si="35"/>
        <v>#DIV/0!</v>
      </c>
      <c r="AP12" s="310" t="str">
        <f t="shared" si="36"/>
        <v>#DIV/0!</v>
      </c>
      <c r="AQ12" s="310" t="str">
        <f>IF(AND(AP12&gt;0,AP12=MAX(AP$7:AP$17)),6,0)</f>
        <v>#DIV/0!</v>
      </c>
      <c r="AR12" s="310">
        <f t="shared" si="37"/>
        <v>1382.015</v>
      </c>
      <c r="AS12" s="251" t="str">
        <f t="shared" si="38"/>
        <v>#DIV/0!</v>
      </c>
      <c r="AT12" s="353">
        <f t="shared" si="39"/>
        <v>21.1</v>
      </c>
      <c r="AU12" s="310" t="str">
        <f t="shared" si="6"/>
        <v>#NAME?</v>
      </c>
      <c r="AV12" s="310" t="str">
        <f t="shared" si="40"/>
        <v>#DIV/0!</v>
      </c>
      <c r="AW12" s="310" t="str">
        <f t="shared" si="41"/>
        <v>#DIV/0!</v>
      </c>
      <c r="AX12" s="310" t="str">
        <f>IF(AND(AW12&gt;0,AW12=MAX(AW$7:AW$17)),6,0)</f>
        <v>#DIV/0!</v>
      </c>
      <c r="AY12" s="310">
        <f t="shared" si="42"/>
        <v>1702</v>
      </c>
      <c r="AZ12" s="251" t="str">
        <f t="shared" si="43"/>
        <v>#DIV/0!</v>
      </c>
      <c r="BA12" s="353">
        <f t="shared" si="44"/>
        <v>23.3</v>
      </c>
      <c r="BB12" s="310" t="str">
        <f t="shared" si="7"/>
        <v>#NAME?</v>
      </c>
      <c r="BC12" s="310" t="str">
        <f t="shared" si="45"/>
        <v>#DIV/0!</v>
      </c>
      <c r="BD12" s="310" t="str">
        <f t="shared" si="46"/>
        <v>#DIV/0!</v>
      </c>
      <c r="BE12" s="310" t="str">
        <f>IF(AND(BD12&gt;0,BD12=MAX(BD$7:BD$17)),6,0)</f>
        <v>#DIV/0!</v>
      </c>
      <c r="BF12" s="310">
        <f t="shared" si="47"/>
        <v>1837</v>
      </c>
      <c r="BG12" s="251" t="str">
        <f t="shared" si="48"/>
        <v>#DIV/0!</v>
      </c>
      <c r="BH12" s="353">
        <f t="shared" si="49"/>
        <v>22.6</v>
      </c>
      <c r="BI12" s="310" t="str">
        <f t="shared" si="8"/>
        <v>#NAME?</v>
      </c>
      <c r="BJ12" s="310" t="str">
        <f t="shared" si="50"/>
        <v>#DIV/0!</v>
      </c>
      <c r="BK12" s="310" t="str">
        <f t="shared" si="51"/>
        <v>#DIV/0!</v>
      </c>
      <c r="BL12" s="310" t="str">
        <f>IF(AND(BK12&gt;0,BK12=MAX(BK$7:BK$17)),6,0)</f>
        <v>#DIV/0!</v>
      </c>
      <c r="BM12" s="310">
        <f t="shared" si="52"/>
        <v>1953</v>
      </c>
      <c r="BN12" s="251" t="str">
        <f t="shared" si="53"/>
        <v>#DIV/0!</v>
      </c>
      <c r="BO12" s="353">
        <f t="shared" si="54"/>
        <v>18.85723922</v>
      </c>
      <c r="BP12" s="310" t="str">
        <f t="shared" si="9"/>
        <v>#NAME?</v>
      </c>
      <c r="BQ12" s="310" t="str">
        <f t="shared" si="55"/>
        <v>#DIV/0!</v>
      </c>
      <c r="BR12" s="310" t="str">
        <f t="shared" si="56"/>
        <v>#DIV/0!</v>
      </c>
      <c r="BS12" s="310" t="str">
        <f>IF(AND(BR12&gt;0,BR12=MAX(BR$7:BR$17)),6,0)</f>
        <v>#DIV/0!</v>
      </c>
      <c r="BT12" s="310">
        <f t="shared" si="57"/>
        <v>1557.46</v>
      </c>
      <c r="BU12" s="251" t="str">
        <f t="shared" si="58"/>
        <v>#DIV/0!</v>
      </c>
      <c r="BV12" s="353">
        <f t="shared" si="59"/>
        <v>12.95297519</v>
      </c>
      <c r="BW12" s="310" t="str">
        <f t="shared" si="10"/>
        <v>#NAME?</v>
      </c>
      <c r="BX12" s="310" t="str">
        <f t="shared" si="60"/>
        <v>#DIV/0!</v>
      </c>
      <c r="BY12" s="310" t="str">
        <f t="shared" si="61"/>
        <v>#DIV/0!</v>
      </c>
      <c r="BZ12" s="310" t="str">
        <f>IF(AND(BY12&gt;0,BY12=MAX(BY$7:BY$17)),6,0)</f>
        <v>#DIV/0!</v>
      </c>
      <c r="CA12" s="310">
        <f t="shared" si="62"/>
        <v>1509.67</v>
      </c>
      <c r="CB12" s="251" t="str">
        <f t="shared" si="63"/>
        <v>#DIV/0!</v>
      </c>
      <c r="CC12" s="353">
        <f t="shared" si="64"/>
        <v>7.429631414</v>
      </c>
      <c r="CD12" s="310" t="str">
        <f t="shared" si="11"/>
        <v>#NAME?</v>
      </c>
      <c r="CE12" s="310" t="str">
        <f t="shared" si="65"/>
        <v>#DIV/0!</v>
      </c>
      <c r="CF12" s="310" t="str">
        <f t="shared" si="66"/>
        <v>#DIV/0!</v>
      </c>
      <c r="CG12" s="310" t="str">
        <f>IF(AND(CF12&gt;0,CF12=MAX(CF$7:CF$17)),6,0)</f>
        <v>#DIV/0!</v>
      </c>
      <c r="CH12" s="310">
        <f t="shared" si="67"/>
        <v>1429.06</v>
      </c>
      <c r="CI12" s="251" t="str">
        <f t="shared" si="68"/>
        <v>#DIV/0!</v>
      </c>
      <c r="CJ12" s="353">
        <f t="shared" si="69"/>
        <v>2.858588292</v>
      </c>
      <c r="CK12" s="310" t="str">
        <f t="shared" si="12"/>
        <v>#NAME?</v>
      </c>
      <c r="CL12" s="310" t="str">
        <f t="shared" si="70"/>
        <v>#DIV/0!</v>
      </c>
      <c r="CM12" s="310" t="str">
        <f t="shared" si="71"/>
        <v>#DIV/0!</v>
      </c>
      <c r="CN12" s="310" t="str">
        <f>IF(AND(CM12&gt;0,CM12=MAX(CM$7:CM$17)),6,0)</f>
        <v>#DIV/0!</v>
      </c>
      <c r="CO12" s="310">
        <f t="shared" si="72"/>
        <v>1407.9</v>
      </c>
      <c r="CP12" s="251" t="str">
        <f t="shared" si="73"/>
        <v>#DIV/0!</v>
      </c>
    </row>
    <row r="13" ht="12.0" customHeight="1">
      <c r="A13" s="332" t="str">
        <f>ROMAN(7)</f>
        <v>VII</v>
      </c>
      <c r="B13" s="359" t="str">
        <f>IF('Caratteristiche componente'!C13&lt;&gt;"",'Caratteristiche componente'!C13,"")</f>
        <v/>
      </c>
      <c r="C13" s="355" t="str">
        <f>'Calcoli componente'!C13</f>
        <v/>
      </c>
      <c r="D13" s="309" t="str">
        <f>'Calcoli componente'!E13</f>
        <v/>
      </c>
      <c r="E13" s="356" t="str">
        <f>'Calcoli componente'!G13</f>
        <v/>
      </c>
      <c r="F13" s="357">
        <f>'Calcoli componente'!J13</f>
        <v>0</v>
      </c>
      <c r="G13" s="358">
        <f>'Calcoli componente'!K13</f>
        <v>0</v>
      </c>
      <c r="H13" s="283"/>
      <c r="I13" s="329" t="s">
        <v>373</v>
      </c>
      <c r="J13" s="352">
        <f t="shared" si="13"/>
        <v>0</v>
      </c>
      <c r="K13" s="353">
        <f t="shared" si="14"/>
        <v>1.334907251</v>
      </c>
      <c r="L13" s="310" t="str">
        <f t="shared" si="1"/>
        <v>#NAME?</v>
      </c>
      <c r="M13" s="310" t="str">
        <f t="shared" si="15"/>
        <v>#DIV/0!</v>
      </c>
      <c r="N13" s="310" t="str">
        <f t="shared" si="16"/>
        <v>#DIV/0!</v>
      </c>
      <c r="O13" s="310" t="str">
        <f>IF(AND(N13&gt;0,N13=MAX(N$7:N$17)),7,0)</f>
        <v>#DIV/0!</v>
      </c>
      <c r="P13" s="310">
        <f t="shared" si="17"/>
        <v>1389.18</v>
      </c>
      <c r="Q13" s="251" t="str">
        <f t="shared" si="18"/>
        <v>#DIV/0!</v>
      </c>
      <c r="R13" s="353">
        <f t="shared" si="19"/>
        <v>4.001349073</v>
      </c>
      <c r="S13" s="310" t="str">
        <f t="shared" si="2"/>
        <v>#NAME?</v>
      </c>
      <c r="T13" s="310" t="str">
        <f t="shared" si="20"/>
        <v>#DIV/0!</v>
      </c>
      <c r="U13" s="310" t="str">
        <f t="shared" si="21"/>
        <v>#DIV/0!</v>
      </c>
      <c r="V13" s="310" t="str">
        <f>IF(AND(U13&gt;0,U13=MAX(U$7:U$17)),7,0)</f>
        <v>#DIV/0!</v>
      </c>
      <c r="W13" s="310">
        <f t="shared" si="22"/>
        <v>1354.44</v>
      </c>
      <c r="X13" s="251" t="str">
        <f t="shared" si="23"/>
        <v>#DIV/0!</v>
      </c>
      <c r="Y13" s="353">
        <f t="shared" si="24"/>
        <v>8.762852325</v>
      </c>
      <c r="Z13" s="310" t="str">
        <f t="shared" si="3"/>
        <v>#NAME?</v>
      </c>
      <c r="AA13" s="310" t="str">
        <f t="shared" si="25"/>
        <v>#DIV/0!</v>
      </c>
      <c r="AB13" s="310" t="str">
        <f t="shared" si="26"/>
        <v>#DIV/0!</v>
      </c>
      <c r="AC13" s="310" t="str">
        <f>IF(AND(AB13&gt;0,AB13=MAX(AB$7:AB$17)),7,0)</f>
        <v>#DIV/0!</v>
      </c>
      <c r="AD13" s="310">
        <f t="shared" si="27"/>
        <v>1108.69</v>
      </c>
      <c r="AE13" s="251" t="str">
        <f t="shared" si="28"/>
        <v>#DIV/0!</v>
      </c>
      <c r="AF13" s="353">
        <f t="shared" si="29"/>
        <v>13.04820525</v>
      </c>
      <c r="AG13" s="310" t="str">
        <f t="shared" si="4"/>
        <v>#NAME?</v>
      </c>
      <c r="AH13" s="310" t="str">
        <f t="shared" si="30"/>
        <v>#DIV/0!</v>
      </c>
      <c r="AI13" s="310" t="str">
        <f t="shared" si="31"/>
        <v>#DIV/0!</v>
      </c>
      <c r="AJ13" s="310" t="str">
        <f>IF(AND(AI13&gt;0,AI13=MAX(AI$7:AI$17)),7,0)</f>
        <v>#DIV/0!</v>
      </c>
      <c r="AK13" s="310">
        <f t="shared" si="32"/>
        <v>1129.215</v>
      </c>
      <c r="AL13" s="251" t="str">
        <f t="shared" si="33"/>
        <v>#DIV/0!</v>
      </c>
      <c r="AM13" s="353">
        <f t="shared" si="34"/>
        <v>16.85740785</v>
      </c>
      <c r="AN13" s="310" t="str">
        <f t="shared" si="5"/>
        <v>#NAME?</v>
      </c>
      <c r="AO13" s="310" t="str">
        <f t="shared" si="35"/>
        <v>#DIV/0!</v>
      </c>
      <c r="AP13" s="310" t="str">
        <f t="shared" si="36"/>
        <v>#DIV/0!</v>
      </c>
      <c r="AQ13" s="310" t="str">
        <f>IF(AND(AP13&gt;0,AP13=MAX(AP$7:AP$17)),7,0)</f>
        <v>#DIV/0!</v>
      </c>
      <c r="AR13" s="310">
        <f t="shared" si="37"/>
        <v>1382.015</v>
      </c>
      <c r="AS13" s="251" t="str">
        <f t="shared" si="38"/>
        <v>#DIV/0!</v>
      </c>
      <c r="AT13" s="353">
        <f t="shared" si="39"/>
        <v>21.1</v>
      </c>
      <c r="AU13" s="310" t="str">
        <f t="shared" si="6"/>
        <v>#NAME?</v>
      </c>
      <c r="AV13" s="310" t="str">
        <f t="shared" si="40"/>
        <v>#DIV/0!</v>
      </c>
      <c r="AW13" s="310" t="str">
        <f t="shared" si="41"/>
        <v>#DIV/0!</v>
      </c>
      <c r="AX13" s="310" t="str">
        <f>IF(AND(AW13&gt;0,AW13=MAX(AW$7:AW$17)),7,0)</f>
        <v>#DIV/0!</v>
      </c>
      <c r="AY13" s="310">
        <f t="shared" si="42"/>
        <v>1702</v>
      </c>
      <c r="AZ13" s="251" t="str">
        <f t="shared" si="43"/>
        <v>#DIV/0!</v>
      </c>
      <c r="BA13" s="353">
        <f t="shared" si="44"/>
        <v>23.3</v>
      </c>
      <c r="BB13" s="310" t="str">
        <f t="shared" si="7"/>
        <v>#NAME?</v>
      </c>
      <c r="BC13" s="310" t="str">
        <f t="shared" si="45"/>
        <v>#DIV/0!</v>
      </c>
      <c r="BD13" s="310" t="str">
        <f t="shared" si="46"/>
        <v>#DIV/0!</v>
      </c>
      <c r="BE13" s="310" t="str">
        <f>IF(AND(BD13&gt;0,BD13=MAX(BD$7:BD$17)),7,0)</f>
        <v>#DIV/0!</v>
      </c>
      <c r="BF13" s="310">
        <f t="shared" si="47"/>
        <v>1837</v>
      </c>
      <c r="BG13" s="251" t="str">
        <f t="shared" si="48"/>
        <v>#DIV/0!</v>
      </c>
      <c r="BH13" s="353">
        <f t="shared" si="49"/>
        <v>22.6</v>
      </c>
      <c r="BI13" s="310" t="str">
        <f t="shared" si="8"/>
        <v>#NAME?</v>
      </c>
      <c r="BJ13" s="310" t="str">
        <f t="shared" si="50"/>
        <v>#DIV/0!</v>
      </c>
      <c r="BK13" s="310" t="str">
        <f t="shared" si="51"/>
        <v>#DIV/0!</v>
      </c>
      <c r="BL13" s="310" t="str">
        <f>IF(AND(BK13&gt;0,BK13=MAX(BK$7:BK$17)),7,0)</f>
        <v>#DIV/0!</v>
      </c>
      <c r="BM13" s="310">
        <f t="shared" si="52"/>
        <v>1953</v>
      </c>
      <c r="BN13" s="251" t="str">
        <f t="shared" si="53"/>
        <v>#DIV/0!</v>
      </c>
      <c r="BO13" s="353">
        <f t="shared" si="54"/>
        <v>18.85723922</v>
      </c>
      <c r="BP13" s="310" t="str">
        <f t="shared" si="9"/>
        <v>#NAME?</v>
      </c>
      <c r="BQ13" s="310" t="str">
        <f t="shared" si="55"/>
        <v>#DIV/0!</v>
      </c>
      <c r="BR13" s="310" t="str">
        <f t="shared" si="56"/>
        <v>#DIV/0!</v>
      </c>
      <c r="BS13" s="310" t="str">
        <f>IF(AND(BR13&gt;0,BR13=MAX(BR$7:BR$17)),7,0)</f>
        <v>#DIV/0!</v>
      </c>
      <c r="BT13" s="310">
        <f t="shared" si="57"/>
        <v>1557.46</v>
      </c>
      <c r="BU13" s="251" t="str">
        <f t="shared" si="58"/>
        <v>#DIV/0!</v>
      </c>
      <c r="BV13" s="353">
        <f t="shared" si="59"/>
        <v>12.95297519</v>
      </c>
      <c r="BW13" s="310" t="str">
        <f t="shared" si="10"/>
        <v>#NAME?</v>
      </c>
      <c r="BX13" s="310" t="str">
        <f t="shared" si="60"/>
        <v>#DIV/0!</v>
      </c>
      <c r="BY13" s="310" t="str">
        <f t="shared" si="61"/>
        <v>#DIV/0!</v>
      </c>
      <c r="BZ13" s="310" t="str">
        <f>IF(AND(BY13&gt;0,BY13=MAX(BY$7:BY$17)),7,0)</f>
        <v>#DIV/0!</v>
      </c>
      <c r="CA13" s="310">
        <f t="shared" si="62"/>
        <v>1509.67</v>
      </c>
      <c r="CB13" s="251" t="str">
        <f t="shared" si="63"/>
        <v>#DIV/0!</v>
      </c>
      <c r="CC13" s="353">
        <f t="shared" si="64"/>
        <v>7.429631414</v>
      </c>
      <c r="CD13" s="310" t="str">
        <f t="shared" si="11"/>
        <v>#NAME?</v>
      </c>
      <c r="CE13" s="310" t="str">
        <f t="shared" si="65"/>
        <v>#DIV/0!</v>
      </c>
      <c r="CF13" s="310" t="str">
        <f t="shared" si="66"/>
        <v>#DIV/0!</v>
      </c>
      <c r="CG13" s="310" t="str">
        <f>IF(AND(CF13&gt;0,CF13=MAX(CF$7:CF$17)),7,0)</f>
        <v>#DIV/0!</v>
      </c>
      <c r="CH13" s="310">
        <f t="shared" si="67"/>
        <v>1429.06</v>
      </c>
      <c r="CI13" s="251" t="str">
        <f t="shared" si="68"/>
        <v>#DIV/0!</v>
      </c>
      <c r="CJ13" s="353">
        <f t="shared" si="69"/>
        <v>2.858588292</v>
      </c>
      <c r="CK13" s="310" t="str">
        <f t="shared" si="12"/>
        <v>#NAME?</v>
      </c>
      <c r="CL13" s="310" t="str">
        <f t="shared" si="70"/>
        <v>#DIV/0!</v>
      </c>
      <c r="CM13" s="310" t="str">
        <f t="shared" si="71"/>
        <v>#DIV/0!</v>
      </c>
      <c r="CN13" s="310" t="str">
        <f>IF(AND(CM13&gt;0,CM13=MAX(CM$7:CM$17)),7,0)</f>
        <v>#DIV/0!</v>
      </c>
      <c r="CO13" s="310">
        <f t="shared" si="72"/>
        <v>1407.9</v>
      </c>
      <c r="CP13" s="251" t="str">
        <f t="shared" si="73"/>
        <v>#DIV/0!</v>
      </c>
    </row>
    <row r="14" ht="12.0" customHeight="1">
      <c r="A14" s="332" t="str">
        <f>ROMAN(8)</f>
        <v>VIII</v>
      </c>
      <c r="B14" s="359" t="str">
        <f>IF('Caratteristiche componente'!C14&lt;&gt;"",'Caratteristiche componente'!C14,"")</f>
        <v/>
      </c>
      <c r="C14" s="355" t="str">
        <f>'Calcoli componente'!C14</f>
        <v/>
      </c>
      <c r="D14" s="309" t="str">
        <f>'Calcoli componente'!E14</f>
        <v/>
      </c>
      <c r="E14" s="356" t="str">
        <f>'Calcoli componente'!G14</f>
        <v/>
      </c>
      <c r="F14" s="357">
        <f>'Calcoli componente'!J14</f>
        <v>0</v>
      </c>
      <c r="G14" s="358">
        <f>'Calcoli componente'!K14</f>
        <v>0</v>
      </c>
      <c r="H14" s="283"/>
      <c r="I14" s="329" t="s">
        <v>374</v>
      </c>
      <c r="J14" s="352">
        <f t="shared" si="13"/>
        <v>0</v>
      </c>
      <c r="K14" s="353">
        <f t="shared" si="14"/>
        <v>1.334907251</v>
      </c>
      <c r="L14" s="310" t="str">
        <f t="shared" si="1"/>
        <v>#NAME?</v>
      </c>
      <c r="M14" s="310" t="str">
        <f t="shared" si="15"/>
        <v>#DIV/0!</v>
      </c>
      <c r="N14" s="310" t="str">
        <f t="shared" si="16"/>
        <v>#DIV/0!</v>
      </c>
      <c r="O14" s="310" t="str">
        <f>IF(AND(N14&gt;0,N14=MAX(N$7:N$17)),8,0)</f>
        <v>#DIV/0!</v>
      </c>
      <c r="P14" s="310">
        <f t="shared" si="17"/>
        <v>1389.18</v>
      </c>
      <c r="Q14" s="251" t="str">
        <f t="shared" si="18"/>
        <v>#DIV/0!</v>
      </c>
      <c r="R14" s="353">
        <f t="shared" si="19"/>
        <v>4.001349073</v>
      </c>
      <c r="S14" s="310" t="str">
        <f t="shared" si="2"/>
        <v>#NAME?</v>
      </c>
      <c r="T14" s="310" t="str">
        <f t="shared" si="20"/>
        <v>#DIV/0!</v>
      </c>
      <c r="U14" s="310" t="str">
        <f t="shared" si="21"/>
        <v>#DIV/0!</v>
      </c>
      <c r="V14" s="310" t="str">
        <f>IF(AND(U14&gt;0,U14=MAX(U$7:U$17)),8,0)</f>
        <v>#DIV/0!</v>
      </c>
      <c r="W14" s="310">
        <f t="shared" si="22"/>
        <v>1354.44</v>
      </c>
      <c r="X14" s="251" t="str">
        <f t="shared" si="23"/>
        <v>#DIV/0!</v>
      </c>
      <c r="Y14" s="353">
        <f t="shared" si="24"/>
        <v>8.762852325</v>
      </c>
      <c r="Z14" s="310" t="str">
        <f t="shared" si="3"/>
        <v>#NAME?</v>
      </c>
      <c r="AA14" s="310" t="str">
        <f t="shared" si="25"/>
        <v>#DIV/0!</v>
      </c>
      <c r="AB14" s="310" t="str">
        <f t="shared" si="26"/>
        <v>#DIV/0!</v>
      </c>
      <c r="AC14" s="310" t="str">
        <f>IF(AND(AB14&gt;0,AB14=MAX(AB$7:AB$17)),8,0)</f>
        <v>#DIV/0!</v>
      </c>
      <c r="AD14" s="310">
        <f t="shared" si="27"/>
        <v>1108.69</v>
      </c>
      <c r="AE14" s="251" t="str">
        <f t="shared" si="28"/>
        <v>#DIV/0!</v>
      </c>
      <c r="AF14" s="353">
        <f t="shared" si="29"/>
        <v>13.04820525</v>
      </c>
      <c r="AG14" s="310" t="str">
        <f t="shared" si="4"/>
        <v>#NAME?</v>
      </c>
      <c r="AH14" s="310" t="str">
        <f t="shared" si="30"/>
        <v>#DIV/0!</v>
      </c>
      <c r="AI14" s="310" t="str">
        <f t="shared" si="31"/>
        <v>#DIV/0!</v>
      </c>
      <c r="AJ14" s="310" t="str">
        <f>IF(AND(AI14&gt;0,AI14=MAX(AI$7:AI$17)),8,0)</f>
        <v>#DIV/0!</v>
      </c>
      <c r="AK14" s="310">
        <f t="shared" si="32"/>
        <v>1129.215</v>
      </c>
      <c r="AL14" s="251" t="str">
        <f t="shared" si="33"/>
        <v>#DIV/0!</v>
      </c>
      <c r="AM14" s="353">
        <f t="shared" si="34"/>
        <v>16.85740785</v>
      </c>
      <c r="AN14" s="310" t="str">
        <f t="shared" si="5"/>
        <v>#NAME?</v>
      </c>
      <c r="AO14" s="310" t="str">
        <f t="shared" si="35"/>
        <v>#DIV/0!</v>
      </c>
      <c r="AP14" s="310" t="str">
        <f t="shared" si="36"/>
        <v>#DIV/0!</v>
      </c>
      <c r="AQ14" s="310" t="str">
        <f>IF(AND(AP14&gt;0,AP14=MAX(AP$7:AP$17)),8,0)</f>
        <v>#DIV/0!</v>
      </c>
      <c r="AR14" s="310">
        <f t="shared" si="37"/>
        <v>1382.015</v>
      </c>
      <c r="AS14" s="251" t="str">
        <f t="shared" si="38"/>
        <v>#DIV/0!</v>
      </c>
      <c r="AT14" s="353">
        <f t="shared" si="39"/>
        <v>21.1</v>
      </c>
      <c r="AU14" s="310" t="str">
        <f t="shared" si="6"/>
        <v>#NAME?</v>
      </c>
      <c r="AV14" s="310" t="str">
        <f t="shared" si="40"/>
        <v>#DIV/0!</v>
      </c>
      <c r="AW14" s="310" t="str">
        <f t="shared" si="41"/>
        <v>#DIV/0!</v>
      </c>
      <c r="AX14" s="310" t="str">
        <f>IF(AND(AW14&gt;0,AW14=MAX(AW$7:AW$17)),8,0)</f>
        <v>#DIV/0!</v>
      </c>
      <c r="AY14" s="310">
        <f t="shared" si="42"/>
        <v>1702</v>
      </c>
      <c r="AZ14" s="251" t="str">
        <f t="shared" si="43"/>
        <v>#DIV/0!</v>
      </c>
      <c r="BA14" s="353">
        <f t="shared" si="44"/>
        <v>23.3</v>
      </c>
      <c r="BB14" s="310" t="str">
        <f t="shared" si="7"/>
        <v>#NAME?</v>
      </c>
      <c r="BC14" s="310" t="str">
        <f t="shared" si="45"/>
        <v>#DIV/0!</v>
      </c>
      <c r="BD14" s="310" t="str">
        <f t="shared" si="46"/>
        <v>#DIV/0!</v>
      </c>
      <c r="BE14" s="310" t="str">
        <f>IF(AND(BD14&gt;0,BD14=MAX(BD$7:BD$17)),8,0)</f>
        <v>#DIV/0!</v>
      </c>
      <c r="BF14" s="310">
        <f t="shared" si="47"/>
        <v>1837</v>
      </c>
      <c r="BG14" s="251" t="str">
        <f t="shared" si="48"/>
        <v>#DIV/0!</v>
      </c>
      <c r="BH14" s="353">
        <f t="shared" si="49"/>
        <v>22.6</v>
      </c>
      <c r="BI14" s="310" t="str">
        <f t="shared" si="8"/>
        <v>#NAME?</v>
      </c>
      <c r="BJ14" s="310" t="str">
        <f t="shared" si="50"/>
        <v>#DIV/0!</v>
      </c>
      <c r="BK14" s="310" t="str">
        <f t="shared" si="51"/>
        <v>#DIV/0!</v>
      </c>
      <c r="BL14" s="310" t="str">
        <f>IF(AND(BK14&gt;0,BK14=MAX(BK$7:BK$17)),8,0)</f>
        <v>#DIV/0!</v>
      </c>
      <c r="BM14" s="310">
        <f t="shared" si="52"/>
        <v>1953</v>
      </c>
      <c r="BN14" s="251" t="str">
        <f t="shared" si="53"/>
        <v>#DIV/0!</v>
      </c>
      <c r="BO14" s="353">
        <f t="shared" si="54"/>
        <v>18.85723922</v>
      </c>
      <c r="BP14" s="310" t="str">
        <f t="shared" si="9"/>
        <v>#NAME?</v>
      </c>
      <c r="BQ14" s="310" t="str">
        <f t="shared" si="55"/>
        <v>#DIV/0!</v>
      </c>
      <c r="BR14" s="310" t="str">
        <f t="shared" si="56"/>
        <v>#DIV/0!</v>
      </c>
      <c r="BS14" s="310" t="str">
        <f>IF(AND(BR14&gt;0,BR14=MAX(BR$7:BR$17)),8,0)</f>
        <v>#DIV/0!</v>
      </c>
      <c r="BT14" s="310">
        <f t="shared" si="57"/>
        <v>1557.46</v>
      </c>
      <c r="BU14" s="251" t="str">
        <f t="shared" si="58"/>
        <v>#DIV/0!</v>
      </c>
      <c r="BV14" s="353">
        <f t="shared" si="59"/>
        <v>12.95297519</v>
      </c>
      <c r="BW14" s="310" t="str">
        <f t="shared" si="10"/>
        <v>#NAME?</v>
      </c>
      <c r="BX14" s="310" t="str">
        <f t="shared" si="60"/>
        <v>#DIV/0!</v>
      </c>
      <c r="BY14" s="310" t="str">
        <f t="shared" si="61"/>
        <v>#DIV/0!</v>
      </c>
      <c r="BZ14" s="310" t="str">
        <f>IF(AND(BY14&gt;0,BY14=MAX(BY$7:BY$17)),8,0)</f>
        <v>#DIV/0!</v>
      </c>
      <c r="CA14" s="310">
        <f t="shared" si="62"/>
        <v>1509.67</v>
      </c>
      <c r="CB14" s="251" t="str">
        <f t="shared" si="63"/>
        <v>#DIV/0!</v>
      </c>
      <c r="CC14" s="353">
        <f t="shared" si="64"/>
        <v>7.429631414</v>
      </c>
      <c r="CD14" s="310" t="str">
        <f t="shared" si="11"/>
        <v>#NAME?</v>
      </c>
      <c r="CE14" s="310" t="str">
        <f t="shared" si="65"/>
        <v>#DIV/0!</v>
      </c>
      <c r="CF14" s="310" t="str">
        <f t="shared" si="66"/>
        <v>#DIV/0!</v>
      </c>
      <c r="CG14" s="310" t="str">
        <f>IF(AND(CF14&gt;0,CF14=MAX(CF$7:CF$17)),8,0)</f>
        <v>#DIV/0!</v>
      </c>
      <c r="CH14" s="310">
        <f t="shared" si="67"/>
        <v>1429.06</v>
      </c>
      <c r="CI14" s="251" t="str">
        <f t="shared" si="68"/>
        <v>#DIV/0!</v>
      </c>
      <c r="CJ14" s="353">
        <f t="shared" si="69"/>
        <v>2.858588292</v>
      </c>
      <c r="CK14" s="310" t="str">
        <f t="shared" si="12"/>
        <v>#NAME?</v>
      </c>
      <c r="CL14" s="310" t="str">
        <f t="shared" si="70"/>
        <v>#DIV/0!</v>
      </c>
      <c r="CM14" s="310" t="str">
        <f t="shared" si="71"/>
        <v>#DIV/0!</v>
      </c>
      <c r="CN14" s="310" t="str">
        <f>IF(AND(CM14&gt;0,CM14=MAX(CM$7:CM$17)),8,0)</f>
        <v>#DIV/0!</v>
      </c>
      <c r="CO14" s="310">
        <f t="shared" si="72"/>
        <v>1407.9</v>
      </c>
      <c r="CP14" s="251" t="str">
        <f t="shared" si="73"/>
        <v>#DIV/0!</v>
      </c>
    </row>
    <row r="15" ht="12.0" customHeight="1">
      <c r="A15" s="332" t="str">
        <f>ROMAN(9)</f>
        <v>IX</v>
      </c>
      <c r="B15" s="359" t="str">
        <f>IF('Caratteristiche componente'!C15&lt;&gt;"",'Caratteristiche componente'!C15,"")</f>
        <v/>
      </c>
      <c r="C15" s="355" t="str">
        <f>'Calcoli componente'!C15</f>
        <v/>
      </c>
      <c r="D15" s="309" t="str">
        <f>'Calcoli componente'!E15</f>
        <v/>
      </c>
      <c r="E15" s="356" t="str">
        <f>'Calcoli componente'!G15</f>
        <v/>
      </c>
      <c r="F15" s="357">
        <f>'Calcoli componente'!J15</f>
        <v>0</v>
      </c>
      <c r="G15" s="358">
        <f>'Calcoli componente'!K15</f>
        <v>0</v>
      </c>
      <c r="H15" s="283"/>
      <c r="I15" s="329" t="s">
        <v>375</v>
      </c>
      <c r="J15" s="352">
        <f t="shared" si="13"/>
        <v>0</v>
      </c>
      <c r="K15" s="353">
        <f t="shared" si="14"/>
        <v>1.334907251</v>
      </c>
      <c r="L15" s="310" t="str">
        <f t="shared" si="1"/>
        <v>#NAME?</v>
      </c>
      <c r="M15" s="310" t="str">
        <f t="shared" si="15"/>
        <v>#DIV/0!</v>
      </c>
      <c r="N15" s="310" t="str">
        <f t="shared" si="16"/>
        <v>#DIV/0!</v>
      </c>
      <c r="O15" s="310" t="str">
        <f>IF(AND(N15&gt;0,N15=MAX(N$7:N$17)),9,0)</f>
        <v>#DIV/0!</v>
      </c>
      <c r="P15" s="310">
        <f t="shared" si="17"/>
        <v>1389.18</v>
      </c>
      <c r="Q15" s="251" t="str">
        <f t="shared" si="18"/>
        <v>#DIV/0!</v>
      </c>
      <c r="R15" s="353">
        <f t="shared" si="19"/>
        <v>4.001349073</v>
      </c>
      <c r="S15" s="310" t="str">
        <f t="shared" si="2"/>
        <v>#NAME?</v>
      </c>
      <c r="T15" s="310" t="str">
        <f t="shared" si="20"/>
        <v>#DIV/0!</v>
      </c>
      <c r="U15" s="310" t="str">
        <f t="shared" si="21"/>
        <v>#DIV/0!</v>
      </c>
      <c r="V15" s="310" t="str">
        <f>IF(AND(U15&gt;0,U15=MAX(U$7:U$17)),9,0)</f>
        <v>#DIV/0!</v>
      </c>
      <c r="W15" s="310">
        <f t="shared" si="22"/>
        <v>1354.44</v>
      </c>
      <c r="X15" s="251" t="str">
        <f t="shared" si="23"/>
        <v>#DIV/0!</v>
      </c>
      <c r="Y15" s="353">
        <f t="shared" si="24"/>
        <v>8.762852325</v>
      </c>
      <c r="Z15" s="310" t="str">
        <f t="shared" si="3"/>
        <v>#NAME?</v>
      </c>
      <c r="AA15" s="310" t="str">
        <f t="shared" si="25"/>
        <v>#DIV/0!</v>
      </c>
      <c r="AB15" s="310" t="str">
        <f t="shared" si="26"/>
        <v>#DIV/0!</v>
      </c>
      <c r="AC15" s="310" t="str">
        <f>IF(AND(AB15&gt;0,AB15=MAX(AB$7:AB$17)),9,0)</f>
        <v>#DIV/0!</v>
      </c>
      <c r="AD15" s="310">
        <f t="shared" si="27"/>
        <v>1108.69</v>
      </c>
      <c r="AE15" s="251" t="str">
        <f t="shared" si="28"/>
        <v>#DIV/0!</v>
      </c>
      <c r="AF15" s="353">
        <f t="shared" si="29"/>
        <v>13.04820525</v>
      </c>
      <c r="AG15" s="310" t="str">
        <f t="shared" si="4"/>
        <v>#NAME?</v>
      </c>
      <c r="AH15" s="310" t="str">
        <f t="shared" si="30"/>
        <v>#DIV/0!</v>
      </c>
      <c r="AI15" s="310" t="str">
        <f t="shared" si="31"/>
        <v>#DIV/0!</v>
      </c>
      <c r="AJ15" s="310" t="str">
        <f>IF(AND(AI15&gt;0,AI15=MAX(AI$7:AI$17)),9,0)</f>
        <v>#DIV/0!</v>
      </c>
      <c r="AK15" s="310">
        <f t="shared" si="32"/>
        <v>1129.215</v>
      </c>
      <c r="AL15" s="251" t="str">
        <f t="shared" si="33"/>
        <v>#DIV/0!</v>
      </c>
      <c r="AM15" s="353">
        <f t="shared" si="34"/>
        <v>16.85740785</v>
      </c>
      <c r="AN15" s="310" t="str">
        <f t="shared" si="5"/>
        <v>#NAME?</v>
      </c>
      <c r="AO15" s="310" t="str">
        <f t="shared" si="35"/>
        <v>#DIV/0!</v>
      </c>
      <c r="AP15" s="310" t="str">
        <f t="shared" si="36"/>
        <v>#DIV/0!</v>
      </c>
      <c r="AQ15" s="310" t="str">
        <f>IF(AND(AP15&gt;0,AP15=MAX(AP$7:AP$17)),9,0)</f>
        <v>#DIV/0!</v>
      </c>
      <c r="AR15" s="310">
        <f t="shared" si="37"/>
        <v>1382.015</v>
      </c>
      <c r="AS15" s="251" t="str">
        <f t="shared" si="38"/>
        <v>#DIV/0!</v>
      </c>
      <c r="AT15" s="353">
        <f t="shared" si="39"/>
        <v>21.1</v>
      </c>
      <c r="AU15" s="310" t="str">
        <f t="shared" si="6"/>
        <v>#NAME?</v>
      </c>
      <c r="AV15" s="310" t="str">
        <f t="shared" si="40"/>
        <v>#DIV/0!</v>
      </c>
      <c r="AW15" s="310" t="str">
        <f t="shared" si="41"/>
        <v>#DIV/0!</v>
      </c>
      <c r="AX15" s="310" t="str">
        <f>IF(AND(AW15&gt;0,AW15=MAX(AW$7:AW$17)),9,0)</f>
        <v>#DIV/0!</v>
      </c>
      <c r="AY15" s="310">
        <f t="shared" si="42"/>
        <v>1702</v>
      </c>
      <c r="AZ15" s="251" t="str">
        <f t="shared" si="43"/>
        <v>#DIV/0!</v>
      </c>
      <c r="BA15" s="353">
        <f t="shared" si="44"/>
        <v>23.3</v>
      </c>
      <c r="BB15" s="310" t="str">
        <f t="shared" si="7"/>
        <v>#NAME?</v>
      </c>
      <c r="BC15" s="310" t="str">
        <f t="shared" si="45"/>
        <v>#DIV/0!</v>
      </c>
      <c r="BD15" s="310" t="str">
        <f t="shared" si="46"/>
        <v>#DIV/0!</v>
      </c>
      <c r="BE15" s="310" t="str">
        <f>IF(AND(BD15&gt;0,BD15=MAX(BD$7:BD$17)),9,0)</f>
        <v>#DIV/0!</v>
      </c>
      <c r="BF15" s="310">
        <f t="shared" si="47"/>
        <v>1837</v>
      </c>
      <c r="BG15" s="251" t="str">
        <f t="shared" si="48"/>
        <v>#DIV/0!</v>
      </c>
      <c r="BH15" s="353">
        <f t="shared" si="49"/>
        <v>22.6</v>
      </c>
      <c r="BI15" s="310" t="str">
        <f t="shared" si="8"/>
        <v>#NAME?</v>
      </c>
      <c r="BJ15" s="310" t="str">
        <f t="shared" si="50"/>
        <v>#DIV/0!</v>
      </c>
      <c r="BK15" s="310" t="str">
        <f t="shared" si="51"/>
        <v>#DIV/0!</v>
      </c>
      <c r="BL15" s="310" t="str">
        <f>IF(AND(BK15&gt;0,BK15=MAX(BK$7:BK$17)),9,0)</f>
        <v>#DIV/0!</v>
      </c>
      <c r="BM15" s="310">
        <f t="shared" si="52"/>
        <v>1953</v>
      </c>
      <c r="BN15" s="251" t="str">
        <f t="shared" si="53"/>
        <v>#DIV/0!</v>
      </c>
      <c r="BO15" s="353">
        <f t="shared" si="54"/>
        <v>18.85723922</v>
      </c>
      <c r="BP15" s="310" t="str">
        <f t="shared" si="9"/>
        <v>#NAME?</v>
      </c>
      <c r="BQ15" s="310" t="str">
        <f t="shared" si="55"/>
        <v>#DIV/0!</v>
      </c>
      <c r="BR15" s="310" t="str">
        <f t="shared" si="56"/>
        <v>#DIV/0!</v>
      </c>
      <c r="BS15" s="310" t="str">
        <f>IF(AND(BR15&gt;0,BR15=MAX(BR$7:BR$17)),9,0)</f>
        <v>#DIV/0!</v>
      </c>
      <c r="BT15" s="310">
        <f t="shared" si="57"/>
        <v>1557.46</v>
      </c>
      <c r="BU15" s="251" t="str">
        <f t="shared" si="58"/>
        <v>#DIV/0!</v>
      </c>
      <c r="BV15" s="353">
        <f t="shared" si="59"/>
        <v>12.95297519</v>
      </c>
      <c r="BW15" s="310" t="str">
        <f t="shared" si="10"/>
        <v>#NAME?</v>
      </c>
      <c r="BX15" s="310" t="str">
        <f t="shared" si="60"/>
        <v>#DIV/0!</v>
      </c>
      <c r="BY15" s="310" t="str">
        <f t="shared" si="61"/>
        <v>#DIV/0!</v>
      </c>
      <c r="BZ15" s="310" t="str">
        <f>IF(AND(BY15&gt;0,BY15=MAX(BY$7:BY$17)),9,0)</f>
        <v>#DIV/0!</v>
      </c>
      <c r="CA15" s="310">
        <f t="shared" si="62"/>
        <v>1509.67</v>
      </c>
      <c r="CB15" s="251" t="str">
        <f t="shared" si="63"/>
        <v>#DIV/0!</v>
      </c>
      <c r="CC15" s="353">
        <f t="shared" si="64"/>
        <v>7.429631414</v>
      </c>
      <c r="CD15" s="310" t="str">
        <f t="shared" si="11"/>
        <v>#NAME?</v>
      </c>
      <c r="CE15" s="310" t="str">
        <f t="shared" si="65"/>
        <v>#DIV/0!</v>
      </c>
      <c r="CF15" s="310" t="str">
        <f t="shared" si="66"/>
        <v>#DIV/0!</v>
      </c>
      <c r="CG15" s="310" t="str">
        <f>IF(AND(CF15&gt;0,CF15=MAX(CF$7:CF$17)),9,0)</f>
        <v>#DIV/0!</v>
      </c>
      <c r="CH15" s="310">
        <f t="shared" si="67"/>
        <v>1429.06</v>
      </c>
      <c r="CI15" s="251" t="str">
        <f t="shared" si="68"/>
        <v>#DIV/0!</v>
      </c>
      <c r="CJ15" s="353">
        <f t="shared" si="69"/>
        <v>2.858588292</v>
      </c>
      <c r="CK15" s="310" t="str">
        <f t="shared" si="12"/>
        <v>#NAME?</v>
      </c>
      <c r="CL15" s="310" t="str">
        <f t="shared" si="70"/>
        <v>#DIV/0!</v>
      </c>
      <c r="CM15" s="310" t="str">
        <f t="shared" si="71"/>
        <v>#DIV/0!</v>
      </c>
      <c r="CN15" s="310" t="str">
        <f>IF(AND(CM15&gt;0,CM15=MAX(CM$7:CM$17)),9,0)</f>
        <v>#DIV/0!</v>
      </c>
      <c r="CO15" s="310">
        <f t="shared" si="72"/>
        <v>1407.9</v>
      </c>
      <c r="CP15" s="251" t="str">
        <f t="shared" si="73"/>
        <v>#DIV/0!</v>
      </c>
    </row>
    <row r="16" ht="12.75" customHeight="1">
      <c r="A16" s="334" t="str">
        <f>ROMAN(10)</f>
        <v>X</v>
      </c>
      <c r="B16" s="360" t="str">
        <f>IF('Caratteristiche componente'!C16&lt;&gt;"",'Caratteristiche componente'!C16,"")</f>
        <v/>
      </c>
      <c r="C16" s="361" t="str">
        <f>'Calcoli componente'!C16</f>
        <v/>
      </c>
      <c r="D16" s="319" t="str">
        <f>'Calcoli componente'!E16</f>
        <v/>
      </c>
      <c r="E16" s="362" t="str">
        <f>'Calcoli componente'!G16</f>
        <v/>
      </c>
      <c r="F16" s="315">
        <f>'Calcoli componente'!J16</f>
        <v>0</v>
      </c>
      <c r="G16" s="317">
        <f>'Calcoli componente'!K16</f>
        <v>0</v>
      </c>
      <c r="H16" s="283"/>
      <c r="I16" s="329" t="s">
        <v>376</v>
      </c>
      <c r="J16" s="352">
        <f t="shared" si="13"/>
        <v>0</v>
      </c>
      <c r="K16" s="353">
        <f t="shared" si="14"/>
        <v>1.334907251</v>
      </c>
      <c r="L16" s="310" t="str">
        <f t="shared" si="1"/>
        <v>#NAME?</v>
      </c>
      <c r="M16" s="310" t="str">
        <f t="shared" si="15"/>
        <v>#DIV/0!</v>
      </c>
      <c r="N16" s="310" t="str">
        <f t="shared" si="16"/>
        <v>#DIV/0!</v>
      </c>
      <c r="O16" s="310" t="str">
        <f>IF(AND(N16&gt;0,N16=MAX(N$7:N$17)),10,0)</f>
        <v>#DIV/0!</v>
      </c>
      <c r="P16" s="310">
        <f t="shared" si="17"/>
        <v>1389.18</v>
      </c>
      <c r="Q16" s="251" t="str">
        <f t="shared" si="18"/>
        <v>#DIV/0!</v>
      </c>
      <c r="R16" s="353">
        <f t="shared" si="19"/>
        <v>4.001349073</v>
      </c>
      <c r="S16" s="310" t="str">
        <f t="shared" si="2"/>
        <v>#NAME?</v>
      </c>
      <c r="T16" s="310" t="str">
        <f t="shared" si="20"/>
        <v>#DIV/0!</v>
      </c>
      <c r="U16" s="310" t="str">
        <f t="shared" si="21"/>
        <v>#DIV/0!</v>
      </c>
      <c r="V16" s="310" t="str">
        <f>IF(AND(U16&gt;0,U16=MAX(U$7:U$17)),10,0)</f>
        <v>#DIV/0!</v>
      </c>
      <c r="W16" s="310">
        <f t="shared" si="22"/>
        <v>1354.44</v>
      </c>
      <c r="X16" s="251" t="str">
        <f t="shared" si="23"/>
        <v>#DIV/0!</v>
      </c>
      <c r="Y16" s="353">
        <f t="shared" si="24"/>
        <v>8.762852325</v>
      </c>
      <c r="Z16" s="310" t="str">
        <f t="shared" si="3"/>
        <v>#NAME?</v>
      </c>
      <c r="AA16" s="310" t="str">
        <f t="shared" si="25"/>
        <v>#DIV/0!</v>
      </c>
      <c r="AB16" s="310" t="str">
        <f t="shared" si="26"/>
        <v>#DIV/0!</v>
      </c>
      <c r="AC16" s="310" t="str">
        <f>IF(AND(AB16&gt;0,AB16=MAX(AB$7:AB$17)),10,0)</f>
        <v>#DIV/0!</v>
      </c>
      <c r="AD16" s="310">
        <f t="shared" si="27"/>
        <v>1108.69</v>
      </c>
      <c r="AE16" s="251" t="str">
        <f t="shared" si="28"/>
        <v>#DIV/0!</v>
      </c>
      <c r="AF16" s="353">
        <f t="shared" si="29"/>
        <v>13.04820525</v>
      </c>
      <c r="AG16" s="310" t="str">
        <f t="shared" si="4"/>
        <v>#NAME?</v>
      </c>
      <c r="AH16" s="310" t="str">
        <f t="shared" si="30"/>
        <v>#DIV/0!</v>
      </c>
      <c r="AI16" s="310" t="str">
        <f t="shared" si="31"/>
        <v>#DIV/0!</v>
      </c>
      <c r="AJ16" s="310" t="str">
        <f>IF(AND(AI16&gt;0,AI16=MAX(AI$7:AI$17)),10,0)</f>
        <v>#DIV/0!</v>
      </c>
      <c r="AK16" s="310">
        <f t="shared" si="32"/>
        <v>1129.215</v>
      </c>
      <c r="AL16" s="251" t="str">
        <f t="shared" si="33"/>
        <v>#DIV/0!</v>
      </c>
      <c r="AM16" s="353">
        <f t="shared" si="34"/>
        <v>16.85740785</v>
      </c>
      <c r="AN16" s="310" t="str">
        <f t="shared" si="5"/>
        <v>#NAME?</v>
      </c>
      <c r="AO16" s="310" t="str">
        <f t="shared" si="35"/>
        <v>#DIV/0!</v>
      </c>
      <c r="AP16" s="310" t="str">
        <f t="shared" si="36"/>
        <v>#DIV/0!</v>
      </c>
      <c r="AQ16" s="310" t="str">
        <f>IF(AND(AP16&gt;0,AP16=MAX(AP$7:AP$17)),10,0)</f>
        <v>#DIV/0!</v>
      </c>
      <c r="AR16" s="310">
        <f t="shared" si="37"/>
        <v>1382.015</v>
      </c>
      <c r="AS16" s="251" t="str">
        <f t="shared" si="38"/>
        <v>#DIV/0!</v>
      </c>
      <c r="AT16" s="353">
        <f t="shared" si="39"/>
        <v>21.1</v>
      </c>
      <c r="AU16" s="310" t="str">
        <f t="shared" si="6"/>
        <v>#NAME?</v>
      </c>
      <c r="AV16" s="310" t="str">
        <f t="shared" si="40"/>
        <v>#DIV/0!</v>
      </c>
      <c r="AW16" s="310" t="str">
        <f t="shared" si="41"/>
        <v>#DIV/0!</v>
      </c>
      <c r="AX16" s="310" t="str">
        <f>IF(AND(AW16&gt;0,AW16=MAX(AW$7:AW$17)),10,0)</f>
        <v>#DIV/0!</v>
      </c>
      <c r="AY16" s="310">
        <f t="shared" si="42"/>
        <v>1702</v>
      </c>
      <c r="AZ16" s="251" t="str">
        <f t="shared" si="43"/>
        <v>#DIV/0!</v>
      </c>
      <c r="BA16" s="353">
        <f t="shared" si="44"/>
        <v>23.3</v>
      </c>
      <c r="BB16" s="310" t="str">
        <f t="shared" si="7"/>
        <v>#NAME?</v>
      </c>
      <c r="BC16" s="310" t="str">
        <f t="shared" si="45"/>
        <v>#DIV/0!</v>
      </c>
      <c r="BD16" s="310" t="str">
        <f t="shared" si="46"/>
        <v>#DIV/0!</v>
      </c>
      <c r="BE16" s="310" t="str">
        <f>IF(AND(BD16&gt;0,BD16=MAX(BD$7:BD$17)),10,0)</f>
        <v>#DIV/0!</v>
      </c>
      <c r="BF16" s="310">
        <f t="shared" si="47"/>
        <v>1837</v>
      </c>
      <c r="BG16" s="251" t="str">
        <f t="shared" si="48"/>
        <v>#DIV/0!</v>
      </c>
      <c r="BH16" s="353">
        <f t="shared" si="49"/>
        <v>22.6</v>
      </c>
      <c r="BI16" s="310" t="str">
        <f t="shared" si="8"/>
        <v>#NAME?</v>
      </c>
      <c r="BJ16" s="310" t="str">
        <f t="shared" si="50"/>
        <v>#DIV/0!</v>
      </c>
      <c r="BK16" s="310" t="str">
        <f t="shared" si="51"/>
        <v>#DIV/0!</v>
      </c>
      <c r="BL16" s="310" t="str">
        <f>IF(AND(BK16&gt;0,BK16=MAX(BK$7:BK$17)),10,0)</f>
        <v>#DIV/0!</v>
      </c>
      <c r="BM16" s="310">
        <f t="shared" si="52"/>
        <v>1953</v>
      </c>
      <c r="BN16" s="251" t="str">
        <f t="shared" si="53"/>
        <v>#DIV/0!</v>
      </c>
      <c r="BO16" s="353">
        <f t="shared" si="54"/>
        <v>18.85723922</v>
      </c>
      <c r="BP16" s="310" t="str">
        <f t="shared" si="9"/>
        <v>#NAME?</v>
      </c>
      <c r="BQ16" s="310" t="str">
        <f t="shared" si="55"/>
        <v>#DIV/0!</v>
      </c>
      <c r="BR16" s="310" t="str">
        <f t="shared" si="56"/>
        <v>#DIV/0!</v>
      </c>
      <c r="BS16" s="310" t="str">
        <f>IF(AND(BR16&gt;0,BR16=MAX(BR$7:BR$17)),10,0)</f>
        <v>#DIV/0!</v>
      </c>
      <c r="BT16" s="310">
        <f t="shared" si="57"/>
        <v>1557.46</v>
      </c>
      <c r="BU16" s="251" t="str">
        <f t="shared" si="58"/>
        <v>#DIV/0!</v>
      </c>
      <c r="BV16" s="353">
        <f t="shared" si="59"/>
        <v>12.95297519</v>
      </c>
      <c r="BW16" s="310" t="str">
        <f t="shared" si="10"/>
        <v>#NAME?</v>
      </c>
      <c r="BX16" s="310" t="str">
        <f t="shared" si="60"/>
        <v>#DIV/0!</v>
      </c>
      <c r="BY16" s="310" t="str">
        <f t="shared" si="61"/>
        <v>#DIV/0!</v>
      </c>
      <c r="BZ16" s="310" t="str">
        <f>IF(AND(BY16&gt;0,BY16=MAX(BY$7:BY$17)),10,0)</f>
        <v>#DIV/0!</v>
      </c>
      <c r="CA16" s="310">
        <f t="shared" si="62"/>
        <v>1509.67</v>
      </c>
      <c r="CB16" s="251" t="str">
        <f t="shared" si="63"/>
        <v>#DIV/0!</v>
      </c>
      <c r="CC16" s="353">
        <f t="shared" si="64"/>
        <v>7.429631414</v>
      </c>
      <c r="CD16" s="310" t="str">
        <f t="shared" si="11"/>
        <v>#NAME?</v>
      </c>
      <c r="CE16" s="310" t="str">
        <f t="shared" si="65"/>
        <v>#DIV/0!</v>
      </c>
      <c r="CF16" s="310" t="str">
        <f t="shared" si="66"/>
        <v>#DIV/0!</v>
      </c>
      <c r="CG16" s="310" t="str">
        <f>IF(AND(CF16&gt;0,CF16=MAX(CF$7:CF$17)),10,0)</f>
        <v>#DIV/0!</v>
      </c>
      <c r="CH16" s="310">
        <f t="shared" si="67"/>
        <v>1429.06</v>
      </c>
      <c r="CI16" s="251" t="str">
        <f t="shared" si="68"/>
        <v>#DIV/0!</v>
      </c>
      <c r="CJ16" s="353">
        <f t="shared" si="69"/>
        <v>2.858588292</v>
      </c>
      <c r="CK16" s="310" t="str">
        <f t="shared" si="12"/>
        <v>#NAME?</v>
      </c>
      <c r="CL16" s="310" t="str">
        <f t="shared" si="70"/>
        <v>#DIV/0!</v>
      </c>
      <c r="CM16" s="310" t="str">
        <f t="shared" si="71"/>
        <v>#DIV/0!</v>
      </c>
      <c r="CN16" s="310" t="str">
        <f>IF(AND(CM16&gt;0,CM16=MAX(CM$7:CM$17)),10,0)</f>
        <v>#DIV/0!</v>
      </c>
      <c r="CO16" s="310">
        <f t="shared" si="72"/>
        <v>1407.9</v>
      </c>
      <c r="CP16" s="251" t="str">
        <f t="shared" si="73"/>
        <v>#DIV/0!</v>
      </c>
    </row>
    <row r="17" ht="12.75" customHeight="1">
      <c r="A17" s="363" t="s">
        <v>111</v>
      </c>
      <c r="B17" s="364"/>
      <c r="C17" s="365">
        <f>SUM(C$7:C$16)</f>
        <v>35</v>
      </c>
      <c r="D17" s="364"/>
      <c r="E17" s="366"/>
      <c r="F17" s="367">
        <f t="shared" ref="F17:G17" si="74">SUM(F$7:F$16)</f>
        <v>0</v>
      </c>
      <c r="G17" s="368">
        <f t="shared" si="74"/>
        <v>0.5485858586</v>
      </c>
      <c r="H17" s="283"/>
      <c r="I17" s="329" t="s">
        <v>377</v>
      </c>
      <c r="J17" s="352">
        <f t="shared" si="13"/>
        <v>0</v>
      </c>
      <c r="K17" s="353">
        <f t="shared" si="14"/>
        <v>1.334907251</v>
      </c>
      <c r="L17" s="310" t="str">
        <f t="shared" si="1"/>
        <v>#NAME?</v>
      </c>
      <c r="M17" s="310">
        <f>M18</f>
        <v>516</v>
      </c>
      <c r="N17" s="310" t="str">
        <f t="shared" si="16"/>
        <v>#NAME?</v>
      </c>
      <c r="O17" s="310" t="str">
        <f>IF(AND(N17&gt;0,N17=MAX(N$7:N$17)),11,0)</f>
        <v>#NAME?</v>
      </c>
      <c r="P17" s="310">
        <f>M17</f>
        <v>516</v>
      </c>
      <c r="Q17" s="369"/>
      <c r="R17" s="353">
        <f t="shared" si="19"/>
        <v>4.001349073</v>
      </c>
      <c r="S17" s="310" t="str">
        <f t="shared" si="2"/>
        <v>#NAME?</v>
      </c>
      <c r="T17" s="310">
        <f>T18</f>
        <v>606</v>
      </c>
      <c r="U17" s="310" t="str">
        <f t="shared" si="21"/>
        <v>#NAME?</v>
      </c>
      <c r="V17" s="310" t="str">
        <f>IF(AND(U17&gt;0,U17=MAX(U$7:U$17)),11,0)</f>
        <v>#NAME?</v>
      </c>
      <c r="W17" s="310">
        <f>T17</f>
        <v>606</v>
      </c>
      <c r="X17" s="369"/>
      <c r="Y17" s="353">
        <f t="shared" si="24"/>
        <v>8.762852325</v>
      </c>
      <c r="Z17" s="310" t="str">
        <f t="shared" si="3"/>
        <v>#NAME?</v>
      </c>
      <c r="AA17" s="310">
        <f>AA18</f>
        <v>583</v>
      </c>
      <c r="AB17" s="310" t="str">
        <f t="shared" si="26"/>
        <v>#NAME?</v>
      </c>
      <c r="AC17" s="310" t="str">
        <f>IF(AND(AB17&gt;0,AB17=MAX(AB$7:AB$17)),11,0)</f>
        <v>#NAME?</v>
      </c>
      <c r="AD17" s="310">
        <f>AA17</f>
        <v>583</v>
      </c>
      <c r="AE17" s="369"/>
      <c r="AF17" s="353">
        <f t="shared" si="29"/>
        <v>13.04820525</v>
      </c>
      <c r="AG17" s="310" t="str">
        <f t="shared" si="4"/>
        <v>#NAME?</v>
      </c>
      <c r="AH17" s="310">
        <f>AH18</f>
        <v>804</v>
      </c>
      <c r="AI17" s="310" t="str">
        <f t="shared" si="31"/>
        <v>#NAME?</v>
      </c>
      <c r="AJ17" s="310" t="str">
        <f>IF(AND(AI17&gt;0,AI17=MAX(AI$7:AI$17)),11,0)</f>
        <v>#NAME?</v>
      </c>
      <c r="AK17" s="310">
        <f>AH17</f>
        <v>804</v>
      </c>
      <c r="AL17" s="369"/>
      <c r="AM17" s="353">
        <f t="shared" si="34"/>
        <v>16.85740785</v>
      </c>
      <c r="AN17" s="310" t="str">
        <f t="shared" si="5"/>
        <v>#NAME?</v>
      </c>
      <c r="AO17" s="310">
        <f>AO18</f>
        <v>1235</v>
      </c>
      <c r="AP17" s="310" t="str">
        <f t="shared" si="36"/>
        <v>#NAME?</v>
      </c>
      <c r="AQ17" s="310" t="str">
        <f>IF(AND(AP17&gt;0,AP17=MAX(AP$7:AP$17)),11,0)</f>
        <v>#NAME?</v>
      </c>
      <c r="AR17" s="310">
        <f>AO17</f>
        <v>1235</v>
      </c>
      <c r="AS17" s="369"/>
      <c r="AT17" s="353">
        <f t="shared" si="39"/>
        <v>21.1</v>
      </c>
      <c r="AU17" s="310" t="str">
        <f t="shared" si="6"/>
        <v>#NAME?</v>
      </c>
      <c r="AV17" s="310">
        <f>AV18</f>
        <v>1702</v>
      </c>
      <c r="AW17" s="310" t="str">
        <f t="shared" si="41"/>
        <v>#NAME?</v>
      </c>
      <c r="AX17" s="310" t="str">
        <f>IF(AND(AW17&gt;0,AW17=MAX(AW$7:AW$17)),11,0)</f>
        <v>#NAME?</v>
      </c>
      <c r="AY17" s="310">
        <f>AV17</f>
        <v>1702</v>
      </c>
      <c r="AZ17" s="369"/>
      <c r="BA17" s="353">
        <f t="shared" si="44"/>
        <v>23.3</v>
      </c>
      <c r="BB17" s="310" t="str">
        <f t="shared" si="7"/>
        <v>#NAME?</v>
      </c>
      <c r="BC17" s="310">
        <f>BC18</f>
        <v>1837</v>
      </c>
      <c r="BD17" s="310" t="str">
        <f t="shared" si="46"/>
        <v>#NAME?</v>
      </c>
      <c r="BE17" s="310" t="str">
        <f>IF(AND(BD17&gt;0,BD17=MAX(BD$7:BD$17)),11,0)</f>
        <v>#NAME?</v>
      </c>
      <c r="BF17" s="310">
        <f>BC17</f>
        <v>1837</v>
      </c>
      <c r="BG17" s="369"/>
      <c r="BH17" s="353">
        <f t="shared" si="49"/>
        <v>22.6</v>
      </c>
      <c r="BI17" s="310" t="str">
        <f t="shared" si="8"/>
        <v>#NAME?</v>
      </c>
      <c r="BJ17" s="310">
        <f>BJ18</f>
        <v>1953</v>
      </c>
      <c r="BK17" s="310" t="str">
        <f t="shared" si="51"/>
        <v>#NAME?</v>
      </c>
      <c r="BL17" s="310" t="str">
        <f>IF(AND(BK17&gt;0,BK17=MAX(BK$7:BK$17)),11,0)</f>
        <v>#NAME?</v>
      </c>
      <c r="BM17" s="310">
        <f>BJ17</f>
        <v>1953</v>
      </c>
      <c r="BN17" s="369"/>
      <c r="BO17" s="353">
        <f t="shared" si="54"/>
        <v>18.85723922</v>
      </c>
      <c r="BP17" s="310" t="str">
        <f t="shared" si="9"/>
        <v>#NAME?</v>
      </c>
      <c r="BQ17" s="310">
        <f>BQ18</f>
        <v>1504</v>
      </c>
      <c r="BR17" s="310" t="str">
        <f t="shared" si="56"/>
        <v>#NAME?</v>
      </c>
      <c r="BS17" s="310" t="str">
        <f>IF(AND(BR17&gt;0,BR17=MAX(BR$7:BR$17)),11,0)</f>
        <v>#NAME?</v>
      </c>
      <c r="BT17" s="310">
        <f>BQ17</f>
        <v>1504</v>
      </c>
      <c r="BU17" s="369"/>
      <c r="BV17" s="353">
        <f t="shared" si="59"/>
        <v>12.95297519</v>
      </c>
      <c r="BW17" s="310" t="str">
        <f t="shared" si="10"/>
        <v>#NAME?</v>
      </c>
      <c r="BX17" s="310">
        <f>BX18</f>
        <v>1180</v>
      </c>
      <c r="BY17" s="310" t="str">
        <f t="shared" si="61"/>
        <v>#NAME?</v>
      </c>
      <c r="BZ17" s="310" t="str">
        <f>IF(AND(BY17&gt;0,BY17=MAX(BY$7:BY$17)),11,0)</f>
        <v>#NAME?</v>
      </c>
      <c r="CA17" s="310">
        <f>BX17</f>
        <v>1180</v>
      </c>
      <c r="CB17" s="369"/>
      <c r="CC17" s="353">
        <f t="shared" si="64"/>
        <v>7.429631414</v>
      </c>
      <c r="CD17" s="310" t="str">
        <f t="shared" si="11"/>
        <v>#NAME?</v>
      </c>
      <c r="CE17" s="310">
        <f>CE18</f>
        <v>841</v>
      </c>
      <c r="CF17" s="310" t="str">
        <f t="shared" si="66"/>
        <v>#NAME?</v>
      </c>
      <c r="CG17" s="310" t="str">
        <f>IF(AND(CF17&gt;0,CF17=MAX(CF$7:CF$17)),11,0)</f>
        <v>#NAME?</v>
      </c>
      <c r="CH17" s="310">
        <f>CE17</f>
        <v>841</v>
      </c>
      <c r="CI17" s="369"/>
      <c r="CJ17" s="353">
        <f t="shared" si="69"/>
        <v>2.858588292</v>
      </c>
      <c r="CK17" s="310" t="str">
        <f t="shared" si="12"/>
        <v>#NAME?</v>
      </c>
      <c r="CL17" s="310">
        <f>CL18</f>
        <v>606</v>
      </c>
      <c r="CM17" s="310" t="str">
        <f t="shared" si="71"/>
        <v>#NAME?</v>
      </c>
      <c r="CN17" s="310" t="str">
        <f>IF(AND(CM17&gt;0,CM17=MAX(CM$7:CM$17)),11,0)</f>
        <v>#NAME?</v>
      </c>
      <c r="CO17" s="310">
        <f>CL17</f>
        <v>606</v>
      </c>
      <c r="CP17" s="369"/>
    </row>
    <row r="18" ht="12.75" customHeight="1">
      <c r="A18" s="283"/>
      <c r="B18" s="283"/>
      <c r="C18" s="283"/>
      <c r="D18" s="283"/>
      <c r="E18" s="283"/>
      <c r="F18" s="283"/>
      <c r="G18" s="283"/>
      <c r="H18" s="283"/>
      <c r="I18" s="337" t="s">
        <v>378</v>
      </c>
      <c r="J18" s="370"/>
      <c r="K18" s="371">
        <f>Condensa!$E$6</f>
        <v>0.4</v>
      </c>
      <c r="L18" s="320" t="str">
        <f t="shared" si="1"/>
        <v>#NAME?</v>
      </c>
      <c r="M18" s="372">
        <f>Condensa!$E$7</f>
        <v>516</v>
      </c>
      <c r="N18" s="373"/>
      <c r="O18" s="373"/>
      <c r="P18" s="373"/>
      <c r="Q18" s="374"/>
      <c r="R18" s="371">
        <f>Condensa!$F$6</f>
        <v>3.2</v>
      </c>
      <c r="S18" s="320" t="str">
        <f t="shared" si="2"/>
        <v>#NAME?</v>
      </c>
      <c r="T18" s="372">
        <f>Condensa!$F$7</f>
        <v>606</v>
      </c>
      <c r="U18" s="373"/>
      <c r="V18" s="373"/>
      <c r="W18" s="373"/>
      <c r="X18" s="374"/>
      <c r="Y18" s="371">
        <f>Condensa!$G$6</f>
        <v>8.2</v>
      </c>
      <c r="Z18" s="320" t="str">
        <f t="shared" si="3"/>
        <v>#NAME?</v>
      </c>
      <c r="AA18" s="372">
        <f>Condensa!$G$7</f>
        <v>583</v>
      </c>
      <c r="AB18" s="373"/>
      <c r="AC18" s="373"/>
      <c r="AD18" s="373"/>
      <c r="AE18" s="374"/>
      <c r="AF18" s="371">
        <f>Condensa!$H$6</f>
        <v>12.7</v>
      </c>
      <c r="AG18" s="320" t="str">
        <f t="shared" si="4"/>
        <v>#NAME?</v>
      </c>
      <c r="AH18" s="372">
        <f>Condensa!$H$7</f>
        <v>804</v>
      </c>
      <c r="AI18" s="373"/>
      <c r="AJ18" s="373"/>
      <c r="AK18" s="373"/>
      <c r="AL18" s="374"/>
      <c r="AM18" s="371">
        <f>Condensa!$I$6</f>
        <v>16.7</v>
      </c>
      <c r="AN18" s="320" t="str">
        <f t="shared" si="5"/>
        <v>#NAME?</v>
      </c>
      <c r="AO18" s="372">
        <f>Condensa!$I$7</f>
        <v>1235</v>
      </c>
      <c r="AP18" s="373"/>
      <c r="AQ18" s="373"/>
      <c r="AR18" s="373"/>
      <c r="AS18" s="374"/>
      <c r="AT18" s="371">
        <f>Condensa!$J$6</f>
        <v>21.1</v>
      </c>
      <c r="AU18" s="320" t="str">
        <f t="shared" si="6"/>
        <v>#NAME?</v>
      </c>
      <c r="AV18" s="372">
        <f>Condensa!$J$7</f>
        <v>1702</v>
      </c>
      <c r="AW18" s="373"/>
      <c r="AX18" s="373"/>
      <c r="AY18" s="373"/>
      <c r="AZ18" s="374"/>
      <c r="BA18" s="371">
        <f>Condensa!$K$6</f>
        <v>23.3</v>
      </c>
      <c r="BB18" s="320" t="str">
        <f t="shared" si="7"/>
        <v>#NAME?</v>
      </c>
      <c r="BC18" s="372">
        <f>Condensa!$K$7</f>
        <v>1837</v>
      </c>
      <c r="BD18" s="373"/>
      <c r="BE18" s="373"/>
      <c r="BF18" s="373"/>
      <c r="BG18" s="374"/>
      <c r="BH18" s="371">
        <f>Condensa!$L$6</f>
        <v>22.6</v>
      </c>
      <c r="BI18" s="320" t="str">
        <f t="shared" si="8"/>
        <v>#NAME?</v>
      </c>
      <c r="BJ18" s="372">
        <f>Condensa!$L$7</f>
        <v>1953</v>
      </c>
      <c r="BK18" s="373"/>
      <c r="BL18" s="373"/>
      <c r="BM18" s="373"/>
      <c r="BN18" s="374"/>
      <c r="BO18" s="371">
        <f>Condensa!$M$6</f>
        <v>18.8</v>
      </c>
      <c r="BP18" s="320" t="str">
        <f t="shared" si="9"/>
        <v>#NAME?</v>
      </c>
      <c r="BQ18" s="372">
        <f>Condensa!$M$7</f>
        <v>1504</v>
      </c>
      <c r="BR18" s="373"/>
      <c r="BS18" s="373"/>
      <c r="BT18" s="373"/>
      <c r="BU18" s="374"/>
      <c r="BV18" s="371">
        <f>Condensa!$N$6</f>
        <v>12.6</v>
      </c>
      <c r="BW18" s="320" t="str">
        <f t="shared" si="10"/>
        <v>#NAME?</v>
      </c>
      <c r="BX18" s="372">
        <f>Condensa!$N$7</f>
        <v>1180</v>
      </c>
      <c r="BY18" s="373"/>
      <c r="BZ18" s="373"/>
      <c r="CA18" s="373"/>
      <c r="CB18" s="374"/>
      <c r="CC18" s="371">
        <f>Condensa!$O$6</f>
        <v>6.8</v>
      </c>
      <c r="CD18" s="320" t="str">
        <f t="shared" si="11"/>
        <v>#NAME?</v>
      </c>
      <c r="CE18" s="372">
        <f>Condensa!$O$7</f>
        <v>841</v>
      </c>
      <c r="CF18" s="373"/>
      <c r="CG18" s="373"/>
      <c r="CH18" s="373"/>
      <c r="CI18" s="374"/>
      <c r="CJ18" s="371">
        <f>Condensa!$P$6</f>
        <v>2</v>
      </c>
      <c r="CK18" s="320" t="str">
        <f t="shared" si="12"/>
        <v>#NAME?</v>
      </c>
      <c r="CL18" s="372">
        <f>Condensa!$P$7</f>
        <v>606</v>
      </c>
      <c r="CM18" s="373"/>
      <c r="CN18" s="373"/>
      <c r="CO18" s="373"/>
      <c r="CP18" s="374"/>
    </row>
    <row r="19" ht="12.75" customHeight="1">
      <c r="A19" s="283"/>
      <c r="B19" s="283"/>
      <c r="C19" s="283"/>
      <c r="D19" s="283"/>
      <c r="E19" s="283"/>
      <c r="F19" s="283"/>
      <c r="G19" s="375">
        <f>G17+0.25+0.04</f>
        <v>0.8385858586</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5.75" customHeight="1">
      <c r="A20" s="283"/>
      <c r="B20" s="283"/>
      <c r="C20" s="283"/>
      <c r="D20" s="283"/>
      <c r="E20" s="283"/>
      <c r="F20" s="283"/>
      <c r="G20" s="283"/>
      <c r="H20" s="283"/>
      <c r="I20" s="283"/>
      <c r="J20" s="287" t="s">
        <v>379</v>
      </c>
      <c r="K20" s="376">
        <f>(K7-K18)/(K6-K18)</f>
        <v>0.7018790653</v>
      </c>
      <c r="L20" s="283"/>
      <c r="M20" s="283"/>
      <c r="N20" s="377" t="str">
        <f t="array" ref="N20">IF(O$20&gt;0,INDEX($J$7:$J$17,O$20,1),$J$17)</f>
        <v>#DIV/0!</v>
      </c>
      <c r="O20" s="378" t="str">
        <f>MAX(O$7:O$17)</f>
        <v>#DIV/0!</v>
      </c>
      <c r="P20" s="379" t="str">
        <f t="array" ref="P20">IF(O$20&gt;0,INDEX(L$7:L$17,O$20,1),M$17)</f>
        <v>#DIV/0!</v>
      </c>
      <c r="Q20" s="380" t="str">
        <f>Q7-Q16</f>
        <v>#DIV/0!</v>
      </c>
      <c r="R20" s="283"/>
      <c r="S20" s="283"/>
      <c r="T20" s="283"/>
      <c r="U20" s="377" t="str">
        <f t="array" ref="U20">IF(V$20&gt;0,INDEX($J$7:$J$17,V$20,1),$J$17)</f>
        <v>#DIV/0!</v>
      </c>
      <c r="V20" s="378" t="str">
        <f>MAX(V$7:V$17)</f>
        <v>#DIV/0!</v>
      </c>
      <c r="W20" s="379" t="str">
        <f t="array" ref="W20">IF(V$20&gt;0,INDEX(S$7:S$17,V$20,1),T$17)</f>
        <v>#DIV/0!</v>
      </c>
      <c r="X20" s="380" t="str">
        <f>X7-X16</f>
        <v>#DIV/0!</v>
      </c>
      <c r="Y20" s="283"/>
      <c r="Z20" s="283"/>
      <c r="AA20" s="283"/>
      <c r="AB20" s="377" t="str">
        <f t="array" ref="AB20">IF(AC$20&gt;0,INDEX($J$7:$J$17,AC$20,1),$J$17)</f>
        <v>#DIV/0!</v>
      </c>
      <c r="AC20" s="378" t="str">
        <f>MAX(AC$7:AC$17)</f>
        <v>#DIV/0!</v>
      </c>
      <c r="AD20" s="379" t="str">
        <f t="array" ref="AD20">IF(AC$20&gt;0,INDEX(Z$7:Z$17,AC$20,1),AA$17)</f>
        <v>#DIV/0!</v>
      </c>
      <c r="AE20" s="380" t="str">
        <f>AE7-AE16</f>
        <v>#DIV/0!</v>
      </c>
      <c r="AF20" s="283"/>
      <c r="AG20" s="283"/>
      <c r="AH20" s="283"/>
      <c r="AI20" s="377" t="str">
        <f t="array" ref="AI20">IF(AJ$20&gt;0,INDEX($J$7:$J$17,AJ$20,1),$J$17)</f>
        <v>#DIV/0!</v>
      </c>
      <c r="AJ20" s="378" t="str">
        <f>MAX(AJ$7:AJ$17)</f>
        <v>#DIV/0!</v>
      </c>
      <c r="AK20" s="379" t="str">
        <f t="array" ref="AK20">IF(AJ$20&gt;0,INDEX(AG$7:AG$17,AJ$20,1),AH$17)</f>
        <v>#DIV/0!</v>
      </c>
      <c r="AL20" s="380" t="str">
        <f>AL7-AL16</f>
        <v>#DIV/0!</v>
      </c>
      <c r="AM20" s="283"/>
      <c r="AN20" s="283"/>
      <c r="AO20" s="283"/>
      <c r="AP20" s="377" t="str">
        <f t="array" ref="AP20">IF(AQ$20&gt;0,INDEX($J$7:$J$17,AQ$20,1),$J$17)</f>
        <v>#DIV/0!</v>
      </c>
      <c r="AQ20" s="378" t="str">
        <f>MAX(AQ$7:AQ$17)</f>
        <v>#DIV/0!</v>
      </c>
      <c r="AR20" s="379" t="str">
        <f t="array" ref="AR20">IF(AQ$20&gt;0,INDEX(AN$7:AN$17,AQ$20,1),AO$17)</f>
        <v>#DIV/0!</v>
      </c>
      <c r="AS20" s="380" t="str">
        <f>AS7-AS16</f>
        <v>#DIV/0!</v>
      </c>
      <c r="AT20" s="283"/>
      <c r="AU20" s="283"/>
      <c r="AV20" s="283"/>
      <c r="AW20" s="377" t="str">
        <f t="array" ref="AW20">IF(AX$20&gt;0,INDEX($J$7:$J$17,AX$20,1),$J$17)</f>
        <v>#DIV/0!</v>
      </c>
      <c r="AX20" s="378" t="str">
        <f>MAX(AX$7:AX$17)</f>
        <v>#DIV/0!</v>
      </c>
      <c r="AY20" s="379" t="str">
        <f t="array" ref="AY20">IF(AX$20&gt;0,INDEX(AU$7:AU$17,AX$20,1),AV$17)</f>
        <v>#DIV/0!</v>
      </c>
      <c r="AZ20" s="380" t="str">
        <f>AZ7-AZ16</f>
        <v>#DIV/0!</v>
      </c>
      <c r="BA20" s="283"/>
      <c r="BB20" s="283"/>
      <c r="BC20" s="283"/>
      <c r="BD20" s="377" t="str">
        <f t="array" ref="BD20">IF(BE$20&gt;0,INDEX($J$7:$J$17,BE$20,1),$J$17)</f>
        <v>#DIV/0!</v>
      </c>
      <c r="BE20" s="378" t="str">
        <f>MAX(BE$7:BE$17)</f>
        <v>#DIV/0!</v>
      </c>
      <c r="BF20" s="379" t="str">
        <f t="array" ref="BF20">IF(BE$20&gt;0,INDEX(BB$7:BB$17,BE$20,1),BC$17)</f>
        <v>#DIV/0!</v>
      </c>
      <c r="BG20" s="380" t="str">
        <f>BG7-BG16</f>
        <v>#DIV/0!</v>
      </c>
      <c r="BH20" s="283"/>
      <c r="BI20" s="283"/>
      <c r="BJ20" s="283"/>
      <c r="BK20" s="377" t="str">
        <f t="array" ref="BK20">IF(BL$20&gt;0,INDEX($J$7:$J$17,BL$20,1),$J$17)</f>
        <v>#DIV/0!</v>
      </c>
      <c r="BL20" s="378" t="str">
        <f>MAX(BL$7:BL$17)</f>
        <v>#DIV/0!</v>
      </c>
      <c r="BM20" s="379" t="str">
        <f t="array" ref="BM20">IF(BL$20&gt;0,INDEX(BI$7:BI$17,BL$20,1),BJ$17)</f>
        <v>#DIV/0!</v>
      </c>
      <c r="BN20" s="380" t="str">
        <f>BN7-BN16</f>
        <v>#DIV/0!</v>
      </c>
      <c r="BO20" s="283"/>
      <c r="BP20" s="283"/>
      <c r="BQ20" s="283"/>
      <c r="BR20" s="377" t="str">
        <f t="array" ref="BR20">IF(BS$20&gt;0,INDEX($J$7:$J$17,BS$20,1),$J$17)</f>
        <v>#DIV/0!</v>
      </c>
      <c r="BS20" s="378" t="str">
        <f>MAX(BS$7:BS$17)</f>
        <v>#DIV/0!</v>
      </c>
      <c r="BT20" s="379" t="str">
        <f t="array" ref="BT20">IF(BS$20&gt;0,INDEX(BP$7:BP$17,BS$20,1),BQ$17)</f>
        <v>#DIV/0!</v>
      </c>
      <c r="BU20" s="380" t="str">
        <f>BU7-BU16</f>
        <v>#DIV/0!</v>
      </c>
      <c r="BV20" s="283"/>
      <c r="BW20" s="283"/>
      <c r="BX20" s="283"/>
      <c r="BY20" s="377" t="str">
        <f t="array" ref="BY20">IF(BZ$20&gt;0,INDEX($J$7:$J$17,BZ$20,1),$J$17)</f>
        <v>#DIV/0!</v>
      </c>
      <c r="BZ20" s="378" t="str">
        <f>MAX(BZ$7:BZ$17)</f>
        <v>#DIV/0!</v>
      </c>
      <c r="CA20" s="379" t="str">
        <f t="array" ref="CA20">IF(BZ$20&gt;0,INDEX(BW$7:BW$17,BZ$20,1),BX$17)</f>
        <v>#DIV/0!</v>
      </c>
      <c r="CB20" s="380" t="str">
        <f>CB7-CB16</f>
        <v>#DIV/0!</v>
      </c>
      <c r="CC20" s="283"/>
      <c r="CD20" s="283"/>
      <c r="CE20" s="283"/>
      <c r="CF20" s="377" t="str">
        <f t="array" ref="CF20">IF(CG$20&gt;0,INDEX($J$7:$J$17,CG$20,1),$J$17)</f>
        <v>#DIV/0!</v>
      </c>
      <c r="CG20" s="378" t="str">
        <f>MAX(CG$7:CG$17)</f>
        <v>#DIV/0!</v>
      </c>
      <c r="CH20" s="379" t="str">
        <f t="array" ref="CH20">IF(CG$20&gt;0,INDEX(CD$7:CD$17,CG$20,1),CE$17)</f>
        <v>#DIV/0!</v>
      </c>
      <c r="CI20" s="380" t="str">
        <f>CI7-CI16</f>
        <v>#DIV/0!</v>
      </c>
      <c r="CJ20" s="283"/>
      <c r="CK20" s="283"/>
      <c r="CL20" s="283"/>
      <c r="CM20" s="377" t="str">
        <f t="array" ref="CM20">IF(CN$20&gt;0,INDEX($J$7:$J$17,CN$20,1),$J$17)</f>
        <v>#DIV/0!</v>
      </c>
      <c r="CN20" s="378" t="str">
        <f>MAX(CN$7:CN$17)</f>
        <v>#DIV/0!</v>
      </c>
      <c r="CO20" s="379" t="str">
        <f t="array" ref="CO20">IF(CN$20&gt;0,INDEX(CK$7:CK$17,CN$20,1),CL$17)</f>
        <v>#DIV/0!</v>
      </c>
      <c r="CP20" s="380" t="str">
        <f>CP7-CP16</f>
        <v>#DIV/0!</v>
      </c>
    </row>
    <row r="21" ht="12.0"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0"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0"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5.75" customHeight="1">
      <c r="A25" s="283"/>
      <c r="B25" s="283"/>
      <c r="C25" s="283"/>
      <c r="D25" s="283"/>
      <c r="E25" s="345" t="s">
        <v>380</v>
      </c>
      <c r="F25" s="292" t="s">
        <v>381</v>
      </c>
      <c r="G25" s="292" t="s">
        <v>382</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4.25" customHeight="1">
      <c r="A26" s="283"/>
      <c r="B26" s="283"/>
      <c r="C26" s="284" t="s">
        <v>321</v>
      </c>
      <c r="D26" s="283"/>
      <c r="E26" s="332" t="s">
        <v>301</v>
      </c>
      <c r="F26" s="298" t="s">
        <v>301</v>
      </c>
      <c r="G26" s="298" t="s">
        <v>383</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2.75" customHeight="1">
      <c r="A27" s="283"/>
      <c r="B27" s="283"/>
      <c r="C27" s="381" t="str">
        <f>Condensa!B18</f>
        <v>Gennaio</v>
      </c>
      <c r="D27" s="283"/>
      <c r="E27" s="319" t="str">
        <f>MIN(INT(MIN(G30:I40)/100)*100,300)</f>
        <v>#NAME?</v>
      </c>
      <c r="F27" s="321" t="str">
        <f>(INT(MAX(G30:I40)/100)+1)*100</f>
        <v>#NAME?</v>
      </c>
      <c r="G27" s="382"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8.0" customHeight="1">
      <c r="A28" s="283"/>
      <c r="B28" s="283"/>
      <c r="C28" s="286" t="str">
        <f>imese($C$27)</f>
        <v>#NAME?</v>
      </c>
      <c r="D28" s="283"/>
      <c r="E28" s="283"/>
      <c r="F28" s="383" t="s">
        <v>384</v>
      </c>
      <c r="G28" s="384" t="s">
        <v>385</v>
      </c>
      <c r="H28" s="292" t="s">
        <v>326</v>
      </c>
      <c r="I28" s="292" t="s">
        <v>386</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2.75" customHeight="1">
      <c r="A29" s="283"/>
      <c r="B29" s="283"/>
      <c r="C29" s="283"/>
      <c r="D29" s="283"/>
      <c r="E29" s="283"/>
      <c r="F29" s="334" t="s">
        <v>98</v>
      </c>
      <c r="G29" s="335" t="s">
        <v>301</v>
      </c>
      <c r="H29" s="304" t="s">
        <v>301</v>
      </c>
      <c r="I29" s="304" t="s">
        <v>301</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0" customHeight="1">
      <c r="A30" s="283"/>
      <c r="B30" s="283"/>
      <c r="C30" s="345" t="s">
        <v>367</v>
      </c>
      <c r="D30" s="385">
        <v>1.0</v>
      </c>
      <c r="E30" s="386">
        <f t="shared" ref="E30:E40" si="75">F30</f>
        <v>0</v>
      </c>
      <c r="F30" s="386">
        <f>0</f>
        <v>0</v>
      </c>
      <c r="G30" s="341" t="str">
        <f t="shared" ref="G30:G40" si="76">INDEX($K$7:$CP$17,$D30,7*($C$28-1)+2)</f>
        <v>#NAME?</v>
      </c>
      <c r="H30" s="387" t="str">
        <f t="shared" ref="H30:H40" si="77">INDEX($K$7:$CP$17,$D30,7*($C$28-1)+3)</f>
        <v>#NAME?</v>
      </c>
      <c r="I30" s="387"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0" customHeight="1">
      <c r="A31" s="283"/>
      <c r="B31" s="283"/>
      <c r="C31" s="332" t="s">
        <v>368</v>
      </c>
      <c r="D31" s="300">
        <f t="shared" ref="D31:D40" si="79">D30+1</f>
        <v>2</v>
      </c>
      <c r="E31" s="388">
        <f t="shared" si="75"/>
        <v>0</v>
      </c>
      <c r="F31" s="388">
        <f t="shared" ref="F31:F40" si="80">F30+F7</f>
        <v>0</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0" customHeight="1">
      <c r="A32" s="283"/>
      <c r="B32" s="283"/>
      <c r="C32" s="332" t="s">
        <v>369</v>
      </c>
      <c r="D32" s="300">
        <f t="shared" si="79"/>
        <v>3</v>
      </c>
      <c r="E32" s="388">
        <f t="shared" si="75"/>
        <v>0</v>
      </c>
      <c r="F32" s="388">
        <f t="shared" si="80"/>
        <v>0</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0" customHeight="1">
      <c r="A33" s="283"/>
      <c r="B33" s="283"/>
      <c r="C33" s="332" t="s">
        <v>370</v>
      </c>
      <c r="D33" s="300">
        <f t="shared" si="79"/>
        <v>4</v>
      </c>
      <c r="E33" s="388">
        <f t="shared" si="75"/>
        <v>0</v>
      </c>
      <c r="F33" s="388">
        <f t="shared" si="80"/>
        <v>0</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0" customHeight="1">
      <c r="A34" s="283"/>
      <c r="B34" s="283"/>
      <c r="C34" s="332" t="s">
        <v>371</v>
      </c>
      <c r="D34" s="300">
        <f t="shared" si="79"/>
        <v>5</v>
      </c>
      <c r="E34" s="388">
        <f t="shared" si="75"/>
        <v>0</v>
      </c>
      <c r="F34" s="388">
        <f t="shared" si="80"/>
        <v>0</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0" customHeight="1">
      <c r="A35" s="283"/>
      <c r="B35" s="283"/>
      <c r="C35" s="332" t="s">
        <v>372</v>
      </c>
      <c r="D35" s="300">
        <f t="shared" si="79"/>
        <v>6</v>
      </c>
      <c r="E35" s="388">
        <f t="shared" si="75"/>
        <v>0</v>
      </c>
      <c r="F35" s="388">
        <f t="shared" si="80"/>
        <v>0</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0" customHeight="1">
      <c r="A36" s="283"/>
      <c r="B36" s="283"/>
      <c r="C36" s="332" t="s">
        <v>373</v>
      </c>
      <c r="D36" s="300">
        <f t="shared" si="79"/>
        <v>7</v>
      </c>
      <c r="E36" s="388">
        <f t="shared" si="75"/>
        <v>0</v>
      </c>
      <c r="F36" s="388">
        <f t="shared" si="80"/>
        <v>0</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0" customHeight="1">
      <c r="A37" s="283"/>
      <c r="B37" s="283"/>
      <c r="C37" s="332" t="s">
        <v>374</v>
      </c>
      <c r="D37" s="300">
        <f t="shared" si="79"/>
        <v>8</v>
      </c>
      <c r="E37" s="388">
        <f t="shared" si="75"/>
        <v>0</v>
      </c>
      <c r="F37" s="388">
        <f t="shared" si="80"/>
        <v>0</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0" customHeight="1">
      <c r="A38" s="283"/>
      <c r="B38" s="283"/>
      <c r="C38" s="332" t="s">
        <v>375</v>
      </c>
      <c r="D38" s="300">
        <f t="shared" si="79"/>
        <v>9</v>
      </c>
      <c r="E38" s="388">
        <f t="shared" si="75"/>
        <v>0</v>
      </c>
      <c r="F38" s="388">
        <f t="shared" si="80"/>
        <v>0</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0" customHeight="1">
      <c r="A39" s="283"/>
      <c r="B39" s="283"/>
      <c r="C39" s="332" t="s">
        <v>376</v>
      </c>
      <c r="D39" s="300">
        <f t="shared" si="79"/>
        <v>10</v>
      </c>
      <c r="E39" s="388">
        <f t="shared" si="75"/>
        <v>0</v>
      </c>
      <c r="F39" s="388">
        <f t="shared" si="80"/>
        <v>0</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2.75" customHeight="1">
      <c r="A40" s="283"/>
      <c r="B40" s="283"/>
      <c r="C40" s="334" t="s">
        <v>377</v>
      </c>
      <c r="D40" s="389">
        <f t="shared" si="79"/>
        <v>11</v>
      </c>
      <c r="E40" s="316">
        <f t="shared" si="75"/>
        <v>0</v>
      </c>
      <c r="F40" s="316">
        <f t="shared" si="80"/>
        <v>0</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0"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0"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0"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0"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0"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0"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0"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0"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0"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0"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0"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0"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0"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0"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0"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0"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0"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0"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0"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0"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0"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0"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0"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0"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0"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0"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0"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0"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0"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0"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0"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0"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0"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0"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0"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0"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0"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0"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0"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0"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0"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0"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0"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0"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0"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0"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0"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0"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0"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0"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0"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0"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0"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0"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0"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0"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0"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0"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0"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0"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0"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0"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0"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0"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0"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0"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0"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0"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0"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0"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0"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0"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0"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0"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0"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0"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0"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0"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0"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0"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0"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0"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0"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0"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0"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0"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0"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0"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0"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0"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0"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0"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0"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0"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0"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0"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0"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0"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0"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0"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0"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0"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0"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0"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0"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0"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0"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0"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0"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0"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0"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0"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0"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0"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0"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0"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0"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0"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0"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0"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0"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0"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0"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0"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0"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0"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0"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0"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0"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0"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0"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0"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0"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0"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0"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0"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0"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0"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0"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0"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0"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0"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0"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0"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0"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0"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0"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0"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0"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0"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0"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0"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0"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0"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0"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0"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0"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0"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0"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0"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0"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0"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0"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0"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0"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0"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0"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0"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0"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0"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0"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0"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0"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0"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0"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0"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0"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0"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0"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0"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0"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0"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0"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0"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0"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0"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0"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0"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0"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0"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0"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0"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0"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0"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0"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0"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0"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0"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0"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0"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0"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0"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0"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0"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0"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0"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0"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0"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0"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0"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0"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0"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0"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0"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0"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0"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0"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0"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0"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0"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0"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0"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0"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0"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0"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0"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0"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0"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0"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0"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0"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0"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0"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0"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0"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0"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0"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0"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0"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0"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0"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0"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0"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0"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0"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0"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0"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0"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0"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0"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0"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0"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0"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0"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0"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0"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0"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0"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0"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0"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0"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0"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0"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0"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0"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0"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0"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0"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0"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0"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0"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0"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0"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0"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0"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0"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0"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0"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0"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0"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0"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0"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0"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0"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0"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0"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0"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0"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0"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0"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0"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0"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0"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0"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0"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0"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0"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0"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0"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0"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0"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0"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0"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0"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0"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0"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0"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0"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0"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0"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0"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0"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0"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0"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0"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0"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0"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0"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0"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0"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0"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0"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0"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0"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0"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0"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0"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0"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0"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0"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0"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0"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0"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0"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0"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0"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0"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0"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0"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0"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0"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0"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0"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0"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0"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0"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0"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0"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0"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0"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0"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0"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0"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0"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0"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0"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0"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0"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0"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0"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0"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0"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0"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0"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0"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0"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0"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0"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0"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0"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0"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0"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0"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0"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0"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0"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0"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0"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0"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0"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0"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0"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0"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0"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0"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0"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0"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0"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0"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0"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0"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0"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0"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0"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0"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0"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0"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0"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0"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0"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0"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0"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0"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0"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0"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0"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0"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0"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0"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0"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0"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0"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0"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0"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0"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0"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0"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0"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0"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0"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0"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0"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0"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0"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0"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0"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0"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0"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0"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0"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0"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0"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0"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0"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0"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0"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0"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0"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0"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0"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0"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0"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0"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0"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0"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0"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0"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0"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0"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0"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0"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0"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0"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0"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0"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0"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0"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0"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0"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0"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0"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0"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0"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0"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0"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0"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0"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0"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0"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0"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0"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0"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0"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0"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0"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0"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0"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0"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0"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0"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0"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0"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0"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0"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0"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0"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0"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0"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0"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0"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0"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0"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0"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0"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0"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0"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0"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0"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0"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0"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0"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0"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0"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0"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0"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0"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0"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0"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0"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0"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0"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0"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0"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0"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0"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0"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0"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0"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0"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0"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0"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0"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0"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0"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0"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0"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0"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0"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0"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0"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0"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0"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0"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0"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0"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0"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0"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0"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0"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0"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0"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0"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0"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0"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0"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0"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0"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0"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0"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0"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0"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0"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0"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0"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0"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0"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0"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0"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0"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0"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0"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0"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0"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0"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0"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0"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0"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0"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0"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0"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0"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0"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0"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0"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0"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0"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0"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0"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0"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0"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0"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0"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0"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0"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0"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0"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0"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0"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0"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0"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0"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0"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0"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0"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0"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0"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0"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0"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0"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0"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0"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0"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0"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0"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0"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0"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0"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0"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0"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0"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0"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0"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0"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0"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0"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0"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0"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0"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0"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0"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0"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0"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0"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0"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0"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0"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0"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0"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0"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0"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0"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0"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0"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0"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0"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0"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0"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0"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0"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0"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0"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0"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0"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0"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0"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0"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0"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0"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0"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0"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0"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0"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0"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0"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0"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0"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0"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0"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0"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0"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0"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0"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0"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0"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0"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0"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0"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0"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0"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0"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0"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0"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0"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0"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0"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0"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0"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0"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0"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0"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0"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0"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0"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0"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0"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0"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0"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0"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0"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0"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0"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0"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0"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0"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0"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0"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0"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0"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0"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0"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0"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0"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0"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0"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0"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0"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0"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0"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0"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0"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0"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0"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0"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0"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0"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0"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0"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0"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0"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0"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0"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0"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0"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0"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0"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0"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0"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0"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0"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0"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0"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0"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0"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0"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0"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0"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0"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0"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0"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0"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0"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0"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0"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0"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0"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0"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0"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0"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0"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0"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0"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0"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0"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0"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0"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0"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0"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0"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0"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0"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0"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0"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0"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0"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0"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0"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0"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0"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0"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0"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0"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0"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0"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0"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0"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0"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0"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0"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0"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0"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0"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0"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0"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0"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0"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0"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0"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0"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0"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0"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0"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0"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0"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0"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0"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0"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0"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0"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0"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0"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0"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0"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0"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0"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0"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0"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0"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0"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0"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0"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0"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0"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0"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0"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0"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0"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0"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0"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0"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0"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0"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0"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0"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0"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0"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0"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0"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0"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0"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0"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0"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0"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0"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0"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0"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0"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0"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0"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0"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0"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0"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0"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0"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0"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0"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0"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0"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0"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0"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0"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0"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0"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0"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0"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0"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0"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0"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0"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0"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0"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0"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0"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0"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0"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0"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0"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0"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0"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0"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0"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0"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0"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0"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0"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0"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0"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0"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0"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0"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0"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0"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0"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0"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0"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0"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0"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0"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0"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0"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0"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0"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0"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0"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0"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0"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0"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0"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0"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0"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0"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0"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0"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0"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0"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0"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0"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0"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0"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0"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0"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0"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0"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0"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0"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0"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0"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0"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0"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0"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0"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0"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0"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0"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0"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0"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0"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0"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0"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0"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0"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0"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0"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0"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0"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0"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0"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0"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0"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0"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0"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0"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0"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0"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0"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0"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0"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0"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0"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0"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0"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0"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0"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0"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0"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0"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0"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0"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0"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0"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0"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281</v>
      </c>
      <c r="C1" s="33" t="s">
        <v>282</v>
      </c>
      <c r="D1" s="33" t="s">
        <v>387</v>
      </c>
      <c r="E1" s="33" t="s">
        <v>388</v>
      </c>
      <c r="F1" s="33" t="s">
        <v>389</v>
      </c>
      <c r="G1" s="33" t="s">
        <v>390</v>
      </c>
      <c r="H1" s="33" t="s">
        <v>391</v>
      </c>
      <c r="I1" s="33" t="s">
        <v>392</v>
      </c>
      <c r="J1" s="33" t="s">
        <v>393</v>
      </c>
      <c r="K1" s="33" t="s">
        <v>394</v>
      </c>
      <c r="L1" s="33" t="s">
        <v>395</v>
      </c>
      <c r="M1" s="33" t="s">
        <v>396</v>
      </c>
      <c r="N1" s="33" t="s">
        <v>397</v>
      </c>
      <c r="O1" s="33" t="s">
        <v>398</v>
      </c>
    </row>
    <row r="2" ht="15.0" customHeight="1">
      <c r="B2" s="106" t="s">
        <v>399</v>
      </c>
      <c r="C2" s="390" t="s">
        <v>400</v>
      </c>
      <c r="D2" s="391">
        <v>10.4</v>
      </c>
      <c r="E2" s="391">
        <v>10.8</v>
      </c>
      <c r="F2" s="391">
        <v>12.7</v>
      </c>
      <c r="G2" s="391">
        <v>15.6</v>
      </c>
      <c r="H2" s="391">
        <v>19.4</v>
      </c>
      <c r="I2" s="391">
        <v>24.1</v>
      </c>
      <c r="J2" s="391">
        <v>26.9</v>
      </c>
      <c r="K2" s="391">
        <v>26.5</v>
      </c>
      <c r="L2" s="391">
        <v>24.0</v>
      </c>
      <c r="M2" s="391">
        <v>19.9</v>
      </c>
      <c r="N2" s="391">
        <v>15.9</v>
      </c>
      <c r="O2" s="391">
        <v>12.2</v>
      </c>
    </row>
    <row r="3" ht="15.0" customHeight="1">
      <c r="B3" s="106" t="s">
        <v>401</v>
      </c>
      <c r="C3" s="390" t="s">
        <v>402</v>
      </c>
      <c r="D3" s="391">
        <v>0.0</v>
      </c>
      <c r="E3" s="391">
        <v>2.8</v>
      </c>
      <c r="F3" s="391">
        <v>8.1</v>
      </c>
      <c r="G3" s="391">
        <v>13.1</v>
      </c>
      <c r="H3" s="391">
        <v>17.3</v>
      </c>
      <c r="I3" s="391">
        <v>22.0</v>
      </c>
      <c r="J3" s="391">
        <v>24.7</v>
      </c>
      <c r="K3" s="391">
        <v>23.6</v>
      </c>
      <c r="L3" s="391">
        <v>19.9</v>
      </c>
      <c r="M3" s="391">
        <v>13.1</v>
      </c>
      <c r="N3" s="391">
        <v>6.9</v>
      </c>
      <c r="O3" s="391">
        <v>1.9</v>
      </c>
    </row>
    <row r="4" ht="15.0" customHeight="1">
      <c r="B4" s="106" t="s">
        <v>403</v>
      </c>
      <c r="C4" s="390" t="s">
        <v>404</v>
      </c>
      <c r="D4" s="391">
        <v>6.3</v>
      </c>
      <c r="E4" s="391">
        <v>7.1</v>
      </c>
      <c r="F4" s="391">
        <v>9.9</v>
      </c>
      <c r="G4" s="391">
        <v>13.4</v>
      </c>
      <c r="H4" s="391">
        <v>17.0</v>
      </c>
      <c r="I4" s="391">
        <v>21.8</v>
      </c>
      <c r="J4" s="391">
        <v>24.4</v>
      </c>
      <c r="K4" s="391">
        <v>24.1</v>
      </c>
      <c r="L4" s="391">
        <v>21.3</v>
      </c>
      <c r="M4" s="391">
        <v>16.5</v>
      </c>
      <c r="N4" s="391">
        <v>12.1</v>
      </c>
      <c r="O4" s="391">
        <v>7.8</v>
      </c>
    </row>
    <row r="5" ht="15.0" customHeight="1">
      <c r="B5" s="106" t="s">
        <v>405</v>
      </c>
      <c r="C5" s="390" t="s">
        <v>402</v>
      </c>
      <c r="D5" s="391">
        <v>-0.3</v>
      </c>
      <c r="E5" s="391">
        <v>2.6</v>
      </c>
      <c r="F5" s="391">
        <v>6.7</v>
      </c>
      <c r="G5" s="391">
        <v>11.0</v>
      </c>
      <c r="H5" s="391">
        <v>14.7</v>
      </c>
      <c r="I5" s="391">
        <v>18.7</v>
      </c>
      <c r="J5" s="391">
        <v>20.5</v>
      </c>
      <c r="K5" s="391">
        <v>19.4</v>
      </c>
      <c r="L5" s="391">
        <v>15.9</v>
      </c>
      <c r="M5" s="391">
        <v>10.3</v>
      </c>
      <c r="N5" s="391">
        <v>4.8</v>
      </c>
      <c r="O5" s="391">
        <v>0.8</v>
      </c>
    </row>
    <row r="6" ht="15.0" customHeight="1">
      <c r="B6" s="106" t="s">
        <v>406</v>
      </c>
      <c r="C6" s="390" t="s">
        <v>402</v>
      </c>
      <c r="D6" s="391">
        <v>2.0</v>
      </c>
      <c r="E6" s="391">
        <v>3.6</v>
      </c>
      <c r="F6" s="391">
        <v>7.1</v>
      </c>
      <c r="G6" s="391">
        <v>11.4</v>
      </c>
      <c r="H6" s="391">
        <v>15.0</v>
      </c>
      <c r="I6" s="391">
        <v>19.1</v>
      </c>
      <c r="J6" s="391">
        <v>22.0</v>
      </c>
      <c r="K6" s="391">
        <v>21.8</v>
      </c>
      <c r="L6" s="391">
        <v>18.6</v>
      </c>
      <c r="M6" s="391">
        <v>13.1</v>
      </c>
      <c r="N6" s="391">
        <v>8.2</v>
      </c>
      <c r="O6" s="391">
        <v>3.8</v>
      </c>
      <c r="S6" s="392"/>
    </row>
    <row r="7" ht="15.0" customHeight="1">
      <c r="B7" s="106" t="s">
        <v>407</v>
      </c>
      <c r="C7" s="390" t="s">
        <v>402</v>
      </c>
      <c r="D7" s="391">
        <v>5.1</v>
      </c>
      <c r="E7" s="391">
        <v>5.9</v>
      </c>
      <c r="F7" s="391">
        <v>9.2</v>
      </c>
      <c r="G7" s="391">
        <v>12.6</v>
      </c>
      <c r="H7" s="391">
        <v>16.4</v>
      </c>
      <c r="I7" s="391">
        <v>20.9</v>
      </c>
      <c r="J7" s="391">
        <v>24.0</v>
      </c>
      <c r="K7" s="391">
        <v>23.4</v>
      </c>
      <c r="L7" s="391">
        <v>20.3</v>
      </c>
      <c r="M7" s="391">
        <v>15.0</v>
      </c>
      <c r="N7" s="391">
        <v>10.2</v>
      </c>
      <c r="O7" s="391">
        <v>6.1</v>
      </c>
    </row>
    <row r="8" ht="15.0" customHeight="1">
      <c r="B8" s="106" t="s">
        <v>408</v>
      </c>
      <c r="C8" s="390" t="s">
        <v>404</v>
      </c>
      <c r="D8" s="391">
        <v>5.5</v>
      </c>
      <c r="E8" s="391">
        <v>6.6</v>
      </c>
      <c r="F8" s="391">
        <v>9.5</v>
      </c>
      <c r="G8" s="391">
        <v>13.3</v>
      </c>
      <c r="H8" s="391">
        <v>17.2</v>
      </c>
      <c r="I8" s="391">
        <v>21.7</v>
      </c>
      <c r="J8" s="391">
        <v>24.4</v>
      </c>
      <c r="K8" s="391">
        <v>24.3</v>
      </c>
      <c r="L8" s="391">
        <v>21.1</v>
      </c>
      <c r="M8" s="391">
        <v>15.8</v>
      </c>
      <c r="N8" s="391">
        <v>10.9</v>
      </c>
      <c r="O8" s="391">
        <v>7.0</v>
      </c>
    </row>
    <row r="9" ht="15.0" customHeight="1">
      <c r="B9" s="106" t="s">
        <v>409</v>
      </c>
      <c r="C9" s="390" t="s">
        <v>402</v>
      </c>
      <c r="D9" s="391">
        <v>-0.4</v>
      </c>
      <c r="E9" s="391">
        <v>2.7</v>
      </c>
      <c r="F9" s="391">
        <v>7.9</v>
      </c>
      <c r="G9" s="391">
        <v>13.0</v>
      </c>
      <c r="H9" s="391">
        <v>17.0</v>
      </c>
      <c r="I9" s="391">
        <v>21.6</v>
      </c>
      <c r="J9" s="391">
        <v>24.2</v>
      </c>
      <c r="K9" s="391">
        <v>22.9</v>
      </c>
      <c r="L9" s="391">
        <v>18.9</v>
      </c>
      <c r="M9" s="391">
        <v>12.7</v>
      </c>
      <c r="N9" s="391">
        <v>6.1</v>
      </c>
      <c r="O9" s="391">
        <v>1.3</v>
      </c>
    </row>
    <row r="10" ht="15.0" customHeight="1">
      <c r="B10" s="106" t="s">
        <v>410</v>
      </c>
      <c r="C10" s="390" t="s">
        <v>404</v>
      </c>
      <c r="D10" s="391">
        <v>5.5</v>
      </c>
      <c r="E10" s="391">
        <v>6.5</v>
      </c>
      <c r="F10" s="391">
        <v>8.8</v>
      </c>
      <c r="G10" s="391">
        <v>12.4</v>
      </c>
      <c r="H10" s="391">
        <v>16.0</v>
      </c>
      <c r="I10" s="391">
        <v>20.3</v>
      </c>
      <c r="J10" s="391">
        <v>23.1</v>
      </c>
      <c r="K10" s="391">
        <v>22.6</v>
      </c>
      <c r="L10" s="391">
        <v>19.6</v>
      </c>
      <c r="M10" s="391">
        <v>14.8</v>
      </c>
      <c r="N10" s="391">
        <v>10.4</v>
      </c>
      <c r="O10" s="391">
        <v>6.8</v>
      </c>
    </row>
    <row r="11" ht="15.0" customHeight="1">
      <c r="B11" s="106" t="s">
        <v>411</v>
      </c>
      <c r="C11" s="390" t="s">
        <v>83</v>
      </c>
      <c r="D11" s="391">
        <v>8.6</v>
      </c>
      <c r="E11" s="391">
        <v>9.2</v>
      </c>
      <c r="F11" s="391">
        <v>11.1</v>
      </c>
      <c r="G11" s="391">
        <v>14.2</v>
      </c>
      <c r="H11" s="391">
        <v>18.0</v>
      </c>
      <c r="I11" s="391">
        <v>22.3</v>
      </c>
      <c r="J11" s="391">
        <v>24.7</v>
      </c>
      <c r="K11" s="391">
        <v>24.5</v>
      </c>
      <c r="L11" s="391">
        <v>22.0</v>
      </c>
      <c r="M11" s="391">
        <v>17.9</v>
      </c>
      <c r="N11" s="391">
        <v>14.0</v>
      </c>
      <c r="O11" s="391">
        <v>10.2</v>
      </c>
    </row>
    <row r="12" ht="15.0" customHeight="1">
      <c r="B12" s="106" t="s">
        <v>412</v>
      </c>
      <c r="C12" s="390" t="s">
        <v>402</v>
      </c>
      <c r="D12" s="391">
        <v>0.1</v>
      </c>
      <c r="E12" s="391">
        <v>2.3</v>
      </c>
      <c r="F12" s="391">
        <v>6.8</v>
      </c>
      <c r="G12" s="391">
        <v>11.2</v>
      </c>
      <c r="H12" s="391">
        <v>14.9</v>
      </c>
      <c r="I12" s="391">
        <v>18.9</v>
      </c>
      <c r="J12" s="391">
        <v>21.2</v>
      </c>
      <c r="K12" s="391">
        <v>20.8</v>
      </c>
      <c r="L12" s="391">
        <v>17.7</v>
      </c>
      <c r="M12" s="391">
        <v>12.4</v>
      </c>
      <c r="N12" s="391">
        <v>6.5</v>
      </c>
      <c r="O12" s="391">
        <v>1.7</v>
      </c>
    </row>
    <row r="13" ht="15.0" customHeight="1">
      <c r="B13" s="106" t="s">
        <v>413</v>
      </c>
      <c r="C13" s="390" t="s">
        <v>83</v>
      </c>
      <c r="D13" s="391">
        <v>6.8</v>
      </c>
      <c r="E13" s="391">
        <v>7.7</v>
      </c>
      <c r="F13" s="391">
        <v>10.3</v>
      </c>
      <c r="G13" s="391">
        <v>13.7</v>
      </c>
      <c r="H13" s="391">
        <v>17.5</v>
      </c>
      <c r="I13" s="391">
        <v>22.1</v>
      </c>
      <c r="J13" s="391">
        <v>24.8</v>
      </c>
      <c r="K13" s="391">
        <v>24.3</v>
      </c>
      <c r="L13" s="391">
        <v>21.4</v>
      </c>
      <c r="M13" s="391">
        <v>16.5</v>
      </c>
      <c r="N13" s="391">
        <v>12.1</v>
      </c>
      <c r="O13" s="391">
        <v>8.0</v>
      </c>
    </row>
    <row r="14" ht="15.0" customHeight="1">
      <c r="B14" s="106" t="s">
        <v>414</v>
      </c>
      <c r="C14" s="390" t="s">
        <v>402</v>
      </c>
      <c r="D14" s="391">
        <v>3.1</v>
      </c>
      <c r="E14" s="391">
        <v>4.9</v>
      </c>
      <c r="F14" s="391">
        <v>8.9</v>
      </c>
      <c r="G14" s="391">
        <v>13.3</v>
      </c>
      <c r="H14" s="391">
        <v>17.0</v>
      </c>
      <c r="I14" s="391">
        <v>21.3</v>
      </c>
      <c r="J14" s="391">
        <v>23.7</v>
      </c>
      <c r="K14" s="391">
        <v>23.2</v>
      </c>
      <c r="L14" s="391">
        <v>19.9</v>
      </c>
      <c r="M14" s="391">
        <v>14.2</v>
      </c>
      <c r="N14" s="391">
        <v>8.6</v>
      </c>
      <c r="O14" s="391">
        <v>4.5</v>
      </c>
    </row>
    <row r="15" ht="15.0" customHeight="1">
      <c r="B15" s="106" t="s">
        <v>415</v>
      </c>
      <c r="C15" s="390" t="s">
        <v>402</v>
      </c>
      <c r="D15" s="391">
        <v>2.1</v>
      </c>
      <c r="E15" s="391">
        <v>4.6</v>
      </c>
      <c r="F15" s="391">
        <v>9.4</v>
      </c>
      <c r="G15" s="391">
        <v>14.2</v>
      </c>
      <c r="H15" s="391">
        <v>18.2</v>
      </c>
      <c r="I15" s="391">
        <v>22.9</v>
      </c>
      <c r="J15" s="391">
        <v>25.4</v>
      </c>
      <c r="K15" s="391">
        <v>24.9</v>
      </c>
      <c r="L15" s="391">
        <v>21.2</v>
      </c>
      <c r="M15" s="391">
        <v>14.9</v>
      </c>
      <c r="N15" s="391">
        <v>8.7</v>
      </c>
      <c r="O15" s="391">
        <v>4.0</v>
      </c>
    </row>
    <row r="16" ht="15.0" customHeight="1">
      <c r="B16" s="106" t="s">
        <v>416</v>
      </c>
      <c r="C16" s="390" t="s">
        <v>402</v>
      </c>
      <c r="D16" s="391">
        <v>1.2</v>
      </c>
      <c r="E16" s="391">
        <v>4.2</v>
      </c>
      <c r="F16" s="391">
        <v>9.0</v>
      </c>
      <c r="G16" s="391">
        <v>13.4</v>
      </c>
      <c r="H16" s="391">
        <v>16.9</v>
      </c>
      <c r="I16" s="391">
        <v>21.0</v>
      </c>
      <c r="J16" s="391">
        <v>22.7</v>
      </c>
      <c r="K16" s="391">
        <v>22.0</v>
      </c>
      <c r="L16" s="391">
        <v>18.8</v>
      </c>
      <c r="M16" s="391">
        <v>12.9</v>
      </c>
      <c r="N16" s="391">
        <v>6.7</v>
      </c>
      <c r="O16" s="391">
        <v>2.2</v>
      </c>
    </row>
    <row r="17" ht="15.0" customHeight="1">
      <c r="B17" s="106" t="s">
        <v>417</v>
      </c>
      <c r="C17" s="390" t="s">
        <v>402</v>
      </c>
      <c r="D17" s="391">
        <v>1.5</v>
      </c>
      <c r="E17" s="391">
        <v>4.2</v>
      </c>
      <c r="F17" s="391">
        <v>9.3</v>
      </c>
      <c r="G17" s="391">
        <v>13.5</v>
      </c>
      <c r="H17" s="391">
        <v>17.7</v>
      </c>
      <c r="I17" s="391">
        <v>22.0</v>
      </c>
      <c r="J17" s="391">
        <v>24.4</v>
      </c>
      <c r="K17" s="391">
        <v>23.7</v>
      </c>
      <c r="L17" s="391">
        <v>19.9</v>
      </c>
      <c r="M17" s="391">
        <v>14.0</v>
      </c>
      <c r="N17" s="391">
        <v>7.8</v>
      </c>
      <c r="O17" s="391">
        <v>3.5</v>
      </c>
    </row>
    <row r="18" ht="15.0" customHeight="1">
      <c r="B18" s="106" t="s">
        <v>418</v>
      </c>
      <c r="C18" s="390" t="s">
        <v>83</v>
      </c>
      <c r="D18" s="391">
        <v>9.3</v>
      </c>
      <c r="E18" s="391">
        <v>9.6</v>
      </c>
      <c r="F18" s="391">
        <v>11.4</v>
      </c>
      <c r="G18" s="391">
        <v>14.2</v>
      </c>
      <c r="H18" s="391">
        <v>18.0</v>
      </c>
      <c r="I18" s="391">
        <v>22.0</v>
      </c>
      <c r="J18" s="391">
        <v>24.5</v>
      </c>
      <c r="K18" s="391">
        <v>24.5</v>
      </c>
      <c r="L18" s="391">
        <v>22.1</v>
      </c>
      <c r="M18" s="391">
        <v>18.3</v>
      </c>
      <c r="N18" s="391">
        <v>14.4</v>
      </c>
      <c r="O18" s="391">
        <v>10.9</v>
      </c>
    </row>
    <row r="19" ht="15.0" customHeight="1">
      <c r="B19" s="106" t="s">
        <v>419</v>
      </c>
      <c r="C19" s="390" t="s">
        <v>83</v>
      </c>
      <c r="D19" s="391">
        <v>10.3</v>
      </c>
      <c r="E19" s="391">
        <v>10.8</v>
      </c>
      <c r="F19" s="391">
        <v>12.8</v>
      </c>
      <c r="G19" s="391">
        <v>15.1</v>
      </c>
      <c r="H19" s="391">
        <v>18.4</v>
      </c>
      <c r="I19" s="391">
        <v>22.9</v>
      </c>
      <c r="J19" s="391">
        <v>25.5</v>
      </c>
      <c r="K19" s="391">
        <v>25.5</v>
      </c>
      <c r="L19" s="391">
        <v>23.3</v>
      </c>
      <c r="M19" s="391">
        <v>19.4</v>
      </c>
      <c r="N19" s="391">
        <v>15.5</v>
      </c>
      <c r="O19" s="391">
        <v>11.7</v>
      </c>
    </row>
    <row r="20" ht="15.0" customHeight="1">
      <c r="B20" s="106" t="s">
        <v>420</v>
      </c>
      <c r="C20" s="390" t="s">
        <v>404</v>
      </c>
      <c r="D20" s="391">
        <v>7.2</v>
      </c>
      <c r="E20" s="391">
        <v>7.8</v>
      </c>
      <c r="F20" s="391">
        <v>9.9</v>
      </c>
      <c r="G20" s="391">
        <v>13.1</v>
      </c>
      <c r="H20" s="391">
        <v>17.3</v>
      </c>
      <c r="I20" s="391">
        <v>22.5</v>
      </c>
      <c r="J20" s="391">
        <v>25.7</v>
      </c>
      <c r="K20" s="391">
        <v>25.2</v>
      </c>
      <c r="L20" s="391">
        <v>22.1</v>
      </c>
      <c r="M20" s="391">
        <v>17.3</v>
      </c>
      <c r="N20" s="391">
        <v>12.8</v>
      </c>
      <c r="O20" s="391">
        <v>8.9</v>
      </c>
    </row>
    <row r="21" ht="15.0" customHeight="1">
      <c r="B21" s="106" t="s">
        <v>421</v>
      </c>
      <c r="C21" s="390" t="s">
        <v>402</v>
      </c>
      <c r="D21" s="391">
        <v>3.7</v>
      </c>
      <c r="E21" s="391">
        <v>4.8</v>
      </c>
      <c r="F21" s="391">
        <v>7.3</v>
      </c>
      <c r="G21" s="391">
        <v>11.1</v>
      </c>
      <c r="H21" s="391">
        <v>14.8</v>
      </c>
      <c r="I21" s="391">
        <v>19.6</v>
      </c>
      <c r="J21" s="391">
        <v>22.5</v>
      </c>
      <c r="K21" s="391">
        <v>22.2</v>
      </c>
      <c r="L21" s="391">
        <v>18.9</v>
      </c>
      <c r="M21" s="391">
        <v>13.5</v>
      </c>
      <c r="N21" s="391">
        <v>9.0</v>
      </c>
      <c r="O21" s="391">
        <v>5.0</v>
      </c>
    </row>
    <row r="22" ht="15.0" customHeight="1">
      <c r="B22" s="106" t="s">
        <v>422</v>
      </c>
      <c r="C22" s="390" t="s">
        <v>83</v>
      </c>
      <c r="D22" s="391">
        <v>8.7</v>
      </c>
      <c r="E22" s="391">
        <v>9.4</v>
      </c>
      <c r="F22" s="391">
        <v>12.0</v>
      </c>
      <c r="G22" s="391">
        <v>15.3</v>
      </c>
      <c r="H22" s="391">
        <v>19.1</v>
      </c>
      <c r="I22" s="391">
        <v>23.5</v>
      </c>
      <c r="J22" s="391">
        <v>26.2</v>
      </c>
      <c r="K22" s="391">
        <v>26.1</v>
      </c>
      <c r="L22" s="391">
        <v>23.0</v>
      </c>
      <c r="M22" s="391">
        <v>18.2</v>
      </c>
      <c r="N22" s="391">
        <v>13.9</v>
      </c>
      <c r="O22" s="391">
        <v>10.3</v>
      </c>
    </row>
    <row r="23" ht="15.0" customHeight="1">
      <c r="B23" s="106" t="s">
        <v>423</v>
      </c>
      <c r="C23" s="390" t="s">
        <v>400</v>
      </c>
      <c r="D23" s="391">
        <v>10.7</v>
      </c>
      <c r="E23" s="391">
        <v>11.2</v>
      </c>
      <c r="F23" s="391">
        <v>12.9</v>
      </c>
      <c r="G23" s="391">
        <v>15.5</v>
      </c>
      <c r="H23" s="391">
        <v>19.1</v>
      </c>
      <c r="I23" s="391">
        <v>23.5</v>
      </c>
      <c r="J23" s="391">
        <v>26.5</v>
      </c>
      <c r="K23" s="391">
        <v>26.5</v>
      </c>
      <c r="L23" s="391">
        <v>24.1</v>
      </c>
      <c r="M23" s="391">
        <v>19.9</v>
      </c>
      <c r="N23" s="391">
        <v>15.9</v>
      </c>
      <c r="O23" s="391">
        <v>12.3</v>
      </c>
    </row>
    <row r="24" ht="15.0" customHeight="1">
      <c r="B24" s="106" t="s">
        <v>424</v>
      </c>
      <c r="C24" s="390" t="s">
        <v>83</v>
      </c>
      <c r="D24" s="391">
        <v>8.3</v>
      </c>
      <c r="E24" s="391">
        <v>8.7</v>
      </c>
      <c r="F24" s="391">
        <v>10.4</v>
      </c>
      <c r="G24" s="391">
        <v>13.4</v>
      </c>
      <c r="H24" s="391">
        <v>17.0</v>
      </c>
      <c r="I24" s="391">
        <v>21.7</v>
      </c>
      <c r="J24" s="391">
        <v>24.4</v>
      </c>
      <c r="K24" s="391">
        <v>24.8</v>
      </c>
      <c r="L24" s="391">
        <v>22.3</v>
      </c>
      <c r="M24" s="391">
        <v>17.9</v>
      </c>
      <c r="N24" s="391">
        <v>13.7</v>
      </c>
      <c r="O24" s="391">
        <v>10.1</v>
      </c>
    </row>
    <row r="25" ht="15.0" customHeight="1">
      <c r="B25" s="106" t="s">
        <v>425</v>
      </c>
      <c r="C25" s="390" t="s">
        <v>404</v>
      </c>
      <c r="D25" s="391">
        <v>5.8</v>
      </c>
      <c r="E25" s="391">
        <v>6.8</v>
      </c>
      <c r="F25" s="391">
        <v>9.6</v>
      </c>
      <c r="G25" s="391">
        <v>13.5</v>
      </c>
      <c r="H25" s="391">
        <v>17.2</v>
      </c>
      <c r="I25" s="391">
        <v>22.0</v>
      </c>
      <c r="J25" s="391">
        <v>24.7</v>
      </c>
      <c r="K25" s="391">
        <v>24.3</v>
      </c>
      <c r="L25" s="391">
        <v>21.2</v>
      </c>
      <c r="M25" s="391">
        <v>15.9</v>
      </c>
      <c r="N25" s="391">
        <v>11.3</v>
      </c>
      <c r="O25" s="391">
        <v>7.2</v>
      </c>
    </row>
    <row r="26" ht="15.0" customHeight="1">
      <c r="B26" s="106" t="s">
        <v>426</v>
      </c>
      <c r="C26" s="390" t="s">
        <v>402</v>
      </c>
      <c r="D26" s="391">
        <v>2.9</v>
      </c>
      <c r="E26" s="391">
        <v>5.0</v>
      </c>
      <c r="F26" s="391">
        <v>8.8</v>
      </c>
      <c r="G26" s="391">
        <v>12.7</v>
      </c>
      <c r="H26" s="391">
        <v>16.7</v>
      </c>
      <c r="I26" s="391">
        <v>21.1</v>
      </c>
      <c r="J26" s="391">
        <v>23.6</v>
      </c>
      <c r="K26" s="391">
        <v>23.1</v>
      </c>
      <c r="L26" s="391">
        <v>19.6</v>
      </c>
      <c r="M26" s="391">
        <v>13.7</v>
      </c>
      <c r="N26" s="391">
        <v>8.4</v>
      </c>
      <c r="O26" s="391">
        <v>4.4</v>
      </c>
    </row>
    <row r="27" ht="15.0" customHeight="1">
      <c r="B27" s="106" t="s">
        <v>427</v>
      </c>
      <c r="C27" s="390" t="s">
        <v>83</v>
      </c>
      <c r="D27" s="391">
        <v>8.1</v>
      </c>
      <c r="E27" s="391">
        <v>8.8</v>
      </c>
      <c r="F27" s="391">
        <v>11.3</v>
      </c>
      <c r="G27" s="391">
        <v>14.4</v>
      </c>
      <c r="H27" s="391">
        <v>18.1</v>
      </c>
      <c r="I27" s="391">
        <v>23.1</v>
      </c>
      <c r="J27" s="391">
        <v>26.0</v>
      </c>
      <c r="K27" s="391">
        <v>25.8</v>
      </c>
      <c r="L27" s="391">
        <v>22.7</v>
      </c>
      <c r="M27" s="391">
        <v>17.8</v>
      </c>
      <c r="N27" s="391">
        <v>13.4</v>
      </c>
      <c r="O27" s="391">
        <v>9.4</v>
      </c>
    </row>
    <row r="28" ht="15.0" customHeight="1">
      <c r="B28" s="106" t="s">
        <v>428</v>
      </c>
      <c r="C28" s="390" t="s">
        <v>402</v>
      </c>
      <c r="D28" s="391">
        <v>0.7</v>
      </c>
      <c r="E28" s="391">
        <v>3.3</v>
      </c>
      <c r="F28" s="391">
        <v>8.4</v>
      </c>
      <c r="G28" s="391">
        <v>13.3</v>
      </c>
      <c r="H28" s="391">
        <v>17.4</v>
      </c>
      <c r="I28" s="391">
        <v>21.9</v>
      </c>
      <c r="J28" s="391">
        <v>24.3</v>
      </c>
      <c r="K28" s="391">
        <v>23.4</v>
      </c>
      <c r="L28" s="391">
        <v>19.7</v>
      </c>
      <c r="M28" s="391">
        <v>13.4</v>
      </c>
      <c r="N28" s="391">
        <v>7.2</v>
      </c>
      <c r="O28" s="391">
        <v>2.5</v>
      </c>
    </row>
    <row r="29" ht="15.0" customHeight="1">
      <c r="B29" s="106" t="s">
        <v>429</v>
      </c>
      <c r="C29" s="390" t="s">
        <v>400</v>
      </c>
      <c r="D29" s="391">
        <v>9.5</v>
      </c>
      <c r="E29" s="391">
        <v>9.8</v>
      </c>
      <c r="F29" s="391">
        <v>11.5</v>
      </c>
      <c r="G29" s="391">
        <v>14.7</v>
      </c>
      <c r="H29" s="391">
        <v>18.4</v>
      </c>
      <c r="I29" s="391">
        <v>22.9</v>
      </c>
      <c r="J29" s="391">
        <v>26.2</v>
      </c>
      <c r="K29" s="391">
        <v>26.0</v>
      </c>
      <c r="L29" s="391">
        <v>23.5</v>
      </c>
      <c r="M29" s="391">
        <v>19.3</v>
      </c>
      <c r="N29" s="391">
        <v>15.1</v>
      </c>
      <c r="O29" s="391">
        <v>11.2</v>
      </c>
    </row>
    <row r="30" ht="15.0" customHeight="1">
      <c r="B30" s="106" t="s">
        <v>430</v>
      </c>
      <c r="C30" s="390" t="s">
        <v>431</v>
      </c>
      <c r="D30" s="391">
        <v>1.1</v>
      </c>
      <c r="E30" s="391">
        <v>2.9</v>
      </c>
      <c r="F30" s="391">
        <v>6.9</v>
      </c>
      <c r="G30" s="391">
        <v>11.3</v>
      </c>
      <c r="H30" s="391">
        <v>14.8</v>
      </c>
      <c r="I30" s="391">
        <v>19.4</v>
      </c>
      <c r="J30" s="391">
        <v>21.9</v>
      </c>
      <c r="K30" s="391">
        <v>21.0</v>
      </c>
      <c r="L30" s="391">
        <v>17.7</v>
      </c>
      <c r="M30" s="391">
        <v>11.7</v>
      </c>
      <c r="N30" s="391">
        <v>6.2</v>
      </c>
      <c r="O30" s="391">
        <v>2.5</v>
      </c>
    </row>
    <row r="31" ht="15.0" customHeight="1">
      <c r="B31" s="106" t="s">
        <v>432</v>
      </c>
      <c r="C31" s="390" t="s">
        <v>402</v>
      </c>
      <c r="D31" s="391">
        <v>4.5</v>
      </c>
      <c r="E31" s="391">
        <v>5.1</v>
      </c>
      <c r="F31" s="391">
        <v>7.1</v>
      </c>
      <c r="G31" s="391">
        <v>10.7</v>
      </c>
      <c r="H31" s="391">
        <v>14.9</v>
      </c>
      <c r="I31" s="391">
        <v>20.6</v>
      </c>
      <c r="J31" s="391">
        <v>23.9</v>
      </c>
      <c r="K31" s="391">
        <v>23.2</v>
      </c>
      <c r="L31" s="391">
        <v>19.9</v>
      </c>
      <c r="M31" s="391">
        <v>14.5</v>
      </c>
      <c r="N31" s="391">
        <v>9.8</v>
      </c>
      <c r="O31" s="391">
        <v>6.4</v>
      </c>
    </row>
    <row r="32" ht="15.0" customHeight="1">
      <c r="B32" s="106" t="s">
        <v>433</v>
      </c>
      <c r="C32" s="390" t="s">
        <v>402</v>
      </c>
      <c r="D32" s="391">
        <v>1.4</v>
      </c>
      <c r="E32" s="391">
        <v>3.3</v>
      </c>
      <c r="F32" s="391">
        <v>7.8</v>
      </c>
      <c r="G32" s="391">
        <v>12.8</v>
      </c>
      <c r="H32" s="391">
        <v>17.3</v>
      </c>
      <c r="I32" s="391">
        <v>21.6</v>
      </c>
      <c r="J32" s="391">
        <v>23.9</v>
      </c>
      <c r="K32" s="391">
        <v>23.5</v>
      </c>
      <c r="L32" s="391">
        <v>20.1</v>
      </c>
      <c r="M32" s="391">
        <v>14.0</v>
      </c>
      <c r="N32" s="391">
        <v>8.2</v>
      </c>
      <c r="O32" s="391">
        <v>3.2</v>
      </c>
    </row>
    <row r="33" ht="15.0" customHeight="1">
      <c r="B33" s="106" t="s">
        <v>434</v>
      </c>
      <c r="C33" s="390" t="s">
        <v>404</v>
      </c>
      <c r="D33" s="391">
        <v>5.3</v>
      </c>
      <c r="E33" s="391">
        <v>6.5</v>
      </c>
      <c r="F33" s="391">
        <v>9.9</v>
      </c>
      <c r="G33" s="391">
        <v>13.8</v>
      </c>
      <c r="H33" s="391">
        <v>17.8</v>
      </c>
      <c r="I33" s="391">
        <v>22.2</v>
      </c>
      <c r="J33" s="391">
        <v>25.0</v>
      </c>
      <c r="K33" s="391">
        <v>24.3</v>
      </c>
      <c r="L33" s="391">
        <v>20.9</v>
      </c>
      <c r="M33" s="391">
        <v>15.3</v>
      </c>
      <c r="N33" s="391">
        <v>10.2</v>
      </c>
      <c r="O33" s="391">
        <v>6.3</v>
      </c>
    </row>
    <row r="34" ht="15.0" customHeight="1">
      <c r="B34" s="106" t="s">
        <v>435</v>
      </c>
      <c r="C34" s="390" t="s">
        <v>404</v>
      </c>
      <c r="D34" s="391">
        <v>6.4</v>
      </c>
      <c r="E34" s="391">
        <v>7.3</v>
      </c>
      <c r="F34" s="391">
        <v>10.0</v>
      </c>
      <c r="G34" s="391">
        <v>13.8</v>
      </c>
      <c r="H34" s="391">
        <v>17.9</v>
      </c>
      <c r="I34" s="391">
        <v>23.2</v>
      </c>
      <c r="J34" s="391">
        <v>26.0</v>
      </c>
      <c r="K34" s="391">
        <v>25.5</v>
      </c>
      <c r="L34" s="391">
        <v>22.1</v>
      </c>
      <c r="M34" s="391">
        <v>16.9</v>
      </c>
      <c r="N34" s="391">
        <v>12.2</v>
      </c>
      <c r="O34" s="391">
        <v>7.9</v>
      </c>
    </row>
    <row r="35" ht="15.0" customHeight="1">
      <c r="B35" s="106" t="s">
        <v>436</v>
      </c>
      <c r="C35" s="390" t="s">
        <v>404</v>
      </c>
      <c r="D35" s="391">
        <v>3.0</v>
      </c>
      <c r="E35" s="391">
        <v>4.6</v>
      </c>
      <c r="F35" s="391">
        <v>9.0</v>
      </c>
      <c r="G35" s="391">
        <v>13.7</v>
      </c>
      <c r="H35" s="391">
        <v>17.8</v>
      </c>
      <c r="I35" s="391">
        <v>22.6</v>
      </c>
      <c r="J35" s="391">
        <v>25.3</v>
      </c>
      <c r="K35" s="391">
        <v>24.8</v>
      </c>
      <c r="L35" s="391">
        <v>21.1</v>
      </c>
      <c r="M35" s="391">
        <v>15.1</v>
      </c>
      <c r="N35" s="391">
        <v>9.3</v>
      </c>
      <c r="O35" s="391">
        <v>4.4</v>
      </c>
    </row>
    <row r="36" ht="15.0" customHeight="1">
      <c r="B36" s="106" t="s">
        <v>437</v>
      </c>
      <c r="C36" s="390" t="s">
        <v>402</v>
      </c>
      <c r="D36" s="391">
        <v>5.8</v>
      </c>
      <c r="E36" s="391">
        <v>6.2</v>
      </c>
      <c r="F36" s="391">
        <v>8.0</v>
      </c>
      <c r="G36" s="391">
        <v>11.0</v>
      </c>
      <c r="H36" s="391">
        <v>15.2</v>
      </c>
      <c r="I36" s="391">
        <v>18.5</v>
      </c>
      <c r="J36" s="391">
        <v>21.5</v>
      </c>
      <c r="K36" s="391">
        <v>20.9</v>
      </c>
      <c r="L36" s="391">
        <v>18.8</v>
      </c>
      <c r="M36" s="391">
        <v>13.4</v>
      </c>
      <c r="N36" s="391">
        <v>9.2</v>
      </c>
      <c r="O36" s="391">
        <v>5.0</v>
      </c>
    </row>
    <row r="37" ht="15.0" customHeight="1">
      <c r="B37" s="106" t="s">
        <v>438</v>
      </c>
      <c r="C37" s="390" t="s">
        <v>404</v>
      </c>
      <c r="D37" s="391">
        <v>7.9</v>
      </c>
      <c r="E37" s="391">
        <v>8.9</v>
      </c>
      <c r="F37" s="391">
        <v>11.6</v>
      </c>
      <c r="G37" s="391">
        <v>14.7</v>
      </c>
      <c r="H37" s="391">
        <v>17.8</v>
      </c>
      <c r="I37" s="391">
        <v>21.9</v>
      </c>
      <c r="J37" s="391">
        <v>24.5</v>
      </c>
      <c r="K37" s="391">
        <v>24.6</v>
      </c>
      <c r="L37" s="391">
        <v>22.3</v>
      </c>
      <c r="M37" s="391">
        <v>17.1</v>
      </c>
      <c r="N37" s="391">
        <v>12.9</v>
      </c>
      <c r="O37" s="391">
        <v>9.3</v>
      </c>
    </row>
    <row r="38" ht="15.0" customHeight="1">
      <c r="B38" s="106" t="s">
        <v>439</v>
      </c>
      <c r="C38" s="390" t="s">
        <v>402</v>
      </c>
      <c r="D38" s="391">
        <v>4.7</v>
      </c>
      <c r="E38" s="391">
        <v>5.6</v>
      </c>
      <c r="F38" s="391">
        <v>8.2</v>
      </c>
      <c r="G38" s="391">
        <v>11.9</v>
      </c>
      <c r="H38" s="391">
        <v>16.7</v>
      </c>
      <c r="I38" s="391">
        <v>19.9</v>
      </c>
      <c r="J38" s="391">
        <v>22.0</v>
      </c>
      <c r="K38" s="391">
        <v>22.2</v>
      </c>
      <c r="L38" s="391">
        <v>18.6</v>
      </c>
      <c r="M38" s="391">
        <v>13.2</v>
      </c>
      <c r="N38" s="391">
        <v>9.2</v>
      </c>
      <c r="O38" s="391">
        <v>4.7</v>
      </c>
    </row>
    <row r="39" ht="15.0" customHeight="1">
      <c r="B39" s="106" t="s">
        <v>440</v>
      </c>
      <c r="C39" s="390" t="s">
        <v>404</v>
      </c>
      <c r="D39" s="391">
        <v>6.8</v>
      </c>
      <c r="E39" s="391">
        <v>8.1</v>
      </c>
      <c r="F39" s="391">
        <v>10.3</v>
      </c>
      <c r="G39" s="391">
        <v>13.2</v>
      </c>
      <c r="H39" s="391">
        <v>17.1</v>
      </c>
      <c r="I39" s="391">
        <v>21.2</v>
      </c>
      <c r="J39" s="391">
        <v>24.1</v>
      </c>
      <c r="K39" s="391">
        <v>23.9</v>
      </c>
      <c r="L39" s="391">
        <v>21.3</v>
      </c>
      <c r="M39" s="391">
        <v>16.4</v>
      </c>
      <c r="N39" s="391">
        <v>11.7</v>
      </c>
      <c r="O39" s="391">
        <v>8.1</v>
      </c>
    </row>
    <row r="40" ht="15.0" customHeight="1">
      <c r="B40" s="106" t="s">
        <v>441</v>
      </c>
      <c r="C40" s="390" t="s">
        <v>83</v>
      </c>
      <c r="D40" s="391">
        <v>8.6</v>
      </c>
      <c r="E40" s="391">
        <v>9.4</v>
      </c>
      <c r="F40" s="391">
        <v>11.6</v>
      </c>
      <c r="G40" s="391">
        <v>14.7</v>
      </c>
      <c r="H40" s="391">
        <v>17.9</v>
      </c>
      <c r="I40" s="391">
        <v>21.7</v>
      </c>
      <c r="J40" s="391">
        <v>24.5</v>
      </c>
      <c r="K40" s="391">
        <v>24.1</v>
      </c>
      <c r="L40" s="391">
        <v>21.8</v>
      </c>
      <c r="M40" s="391">
        <v>17.4</v>
      </c>
      <c r="N40" s="391">
        <v>12.7</v>
      </c>
      <c r="O40" s="391">
        <v>9.5</v>
      </c>
    </row>
    <row r="41" ht="15.0" customHeight="1">
      <c r="B41" s="106" t="s">
        <v>442</v>
      </c>
      <c r="C41" s="390" t="s">
        <v>404</v>
      </c>
      <c r="D41" s="391">
        <v>5.5</v>
      </c>
      <c r="E41" s="391">
        <v>5.7</v>
      </c>
      <c r="F41" s="391">
        <v>8.6</v>
      </c>
      <c r="G41" s="391">
        <v>11.2</v>
      </c>
      <c r="H41" s="391">
        <v>15.5</v>
      </c>
      <c r="I41" s="391">
        <v>20.1</v>
      </c>
      <c r="J41" s="391">
        <v>23.1</v>
      </c>
      <c r="K41" s="391">
        <v>22.8</v>
      </c>
      <c r="L41" s="391">
        <v>19.7</v>
      </c>
      <c r="M41" s="391">
        <v>14.7</v>
      </c>
      <c r="N41" s="391">
        <v>10.3</v>
      </c>
      <c r="O41" s="391">
        <v>6.9</v>
      </c>
    </row>
    <row r="42" ht="15.0" customHeight="1">
      <c r="B42" s="106" t="s">
        <v>443</v>
      </c>
      <c r="C42" s="390" t="s">
        <v>83</v>
      </c>
      <c r="D42" s="391">
        <v>8.3</v>
      </c>
      <c r="E42" s="391">
        <v>9.0</v>
      </c>
      <c r="F42" s="391">
        <v>10.9</v>
      </c>
      <c r="G42" s="391">
        <v>13.5</v>
      </c>
      <c r="H42" s="391">
        <v>16.9</v>
      </c>
      <c r="I42" s="391">
        <v>20.9</v>
      </c>
      <c r="J42" s="391">
        <v>23.7</v>
      </c>
      <c r="K42" s="391">
        <v>23.8</v>
      </c>
      <c r="L42" s="391">
        <v>21.5</v>
      </c>
      <c r="M42" s="391">
        <v>17.3</v>
      </c>
      <c r="N42" s="391">
        <v>12.9</v>
      </c>
      <c r="O42" s="391">
        <v>9.5</v>
      </c>
    </row>
    <row r="43" ht="15.0" customHeight="1">
      <c r="B43" s="106" t="s">
        <v>444</v>
      </c>
      <c r="C43" s="390" t="s">
        <v>83</v>
      </c>
      <c r="D43" s="391">
        <v>9.0</v>
      </c>
      <c r="E43" s="391">
        <v>9.3</v>
      </c>
      <c r="F43" s="391">
        <v>11.4</v>
      </c>
      <c r="G43" s="391">
        <v>14.7</v>
      </c>
      <c r="H43" s="391">
        <v>18.9</v>
      </c>
      <c r="I43" s="391">
        <v>23.4</v>
      </c>
      <c r="J43" s="391">
        <v>26.1</v>
      </c>
      <c r="K43" s="391">
        <v>25.9</v>
      </c>
      <c r="L43" s="391">
        <v>23.0</v>
      </c>
      <c r="M43" s="391">
        <v>18.5</v>
      </c>
      <c r="N43" s="391">
        <v>14.3</v>
      </c>
      <c r="O43" s="391">
        <v>10.7</v>
      </c>
    </row>
    <row r="44" ht="15.0" customHeight="1">
      <c r="B44" s="106" t="s">
        <v>445</v>
      </c>
      <c r="C44" s="390" t="s">
        <v>402</v>
      </c>
      <c r="D44" s="391">
        <v>3.9</v>
      </c>
      <c r="E44" s="391">
        <v>5.7</v>
      </c>
      <c r="F44" s="391">
        <v>9.6</v>
      </c>
      <c r="G44" s="391">
        <v>13.3</v>
      </c>
      <c r="H44" s="391">
        <v>16.0</v>
      </c>
      <c r="I44" s="391">
        <v>20.1</v>
      </c>
      <c r="J44" s="391">
        <v>22.6</v>
      </c>
      <c r="K44" s="391">
        <v>22.1</v>
      </c>
      <c r="L44" s="391">
        <v>19.2</v>
      </c>
      <c r="M44" s="391">
        <v>14.3</v>
      </c>
      <c r="N44" s="391">
        <v>9.2</v>
      </c>
      <c r="O44" s="391">
        <v>5.3</v>
      </c>
    </row>
    <row r="45" ht="15.0" customHeight="1">
      <c r="B45" s="106" t="s">
        <v>446</v>
      </c>
      <c r="C45" s="390" t="s">
        <v>404</v>
      </c>
      <c r="D45" s="391">
        <v>7.5</v>
      </c>
      <c r="E45" s="391">
        <v>8.2</v>
      </c>
      <c r="F45" s="391">
        <v>11.1</v>
      </c>
      <c r="G45" s="391">
        <v>13.9</v>
      </c>
      <c r="H45" s="391">
        <v>17.3</v>
      </c>
      <c r="I45" s="391">
        <v>21.8</v>
      </c>
      <c r="J45" s="391">
        <v>24.4</v>
      </c>
      <c r="K45" s="391">
        <v>24.1</v>
      </c>
      <c r="L45" s="391">
        <v>21.5</v>
      </c>
      <c r="M45" s="391">
        <v>17.1</v>
      </c>
      <c r="N45" s="391">
        <v>12.7</v>
      </c>
      <c r="O45" s="391">
        <v>9.0</v>
      </c>
    </row>
    <row r="46" ht="15.0" customHeight="1">
      <c r="B46" s="106" t="s">
        <v>447</v>
      </c>
      <c r="C46" s="390" t="s">
        <v>402</v>
      </c>
      <c r="D46" s="391">
        <v>0.9</v>
      </c>
      <c r="E46" s="391">
        <v>3.3</v>
      </c>
      <c r="F46" s="391">
        <v>8.6</v>
      </c>
      <c r="G46" s="391">
        <v>13.5</v>
      </c>
      <c r="H46" s="391">
        <v>17.8</v>
      </c>
      <c r="I46" s="391">
        <v>22.5</v>
      </c>
      <c r="J46" s="391">
        <v>24.5</v>
      </c>
      <c r="K46" s="391">
        <v>23.4</v>
      </c>
      <c r="L46" s="391">
        <v>19.6</v>
      </c>
      <c r="M46" s="391">
        <v>13.4</v>
      </c>
      <c r="N46" s="391">
        <v>7.3</v>
      </c>
      <c r="O46" s="391">
        <v>2.5</v>
      </c>
    </row>
    <row r="47" ht="15.0" customHeight="1">
      <c r="B47" s="106" t="s">
        <v>448</v>
      </c>
      <c r="C47" s="390" t="s">
        <v>404</v>
      </c>
      <c r="D47" s="391">
        <v>6.1</v>
      </c>
      <c r="E47" s="391">
        <v>7.2</v>
      </c>
      <c r="F47" s="391">
        <v>10.1</v>
      </c>
      <c r="G47" s="391">
        <v>13.3</v>
      </c>
      <c r="H47" s="391">
        <v>17.1</v>
      </c>
      <c r="I47" s="391">
        <v>21.2</v>
      </c>
      <c r="J47" s="391">
        <v>23.8</v>
      </c>
      <c r="K47" s="391">
        <v>23.6</v>
      </c>
      <c r="L47" s="391">
        <v>20.9</v>
      </c>
      <c r="M47" s="391">
        <v>15.8</v>
      </c>
      <c r="N47" s="391">
        <v>10.9</v>
      </c>
      <c r="O47" s="391">
        <v>7.3</v>
      </c>
    </row>
    <row r="48" ht="15.0" customHeight="1">
      <c r="B48" s="106" t="s">
        <v>449</v>
      </c>
      <c r="C48" s="390" t="s">
        <v>404</v>
      </c>
      <c r="D48" s="391">
        <v>3.8</v>
      </c>
      <c r="E48" s="391">
        <v>5.3</v>
      </c>
      <c r="F48" s="391">
        <v>8.3</v>
      </c>
      <c r="G48" s="391">
        <v>12.4</v>
      </c>
      <c r="H48" s="391">
        <v>16.3</v>
      </c>
      <c r="I48" s="391">
        <v>20.7</v>
      </c>
      <c r="J48" s="391">
        <v>23.5</v>
      </c>
      <c r="K48" s="391">
        <v>23.2</v>
      </c>
      <c r="L48" s="391">
        <v>19.9</v>
      </c>
      <c r="M48" s="391">
        <v>14.4</v>
      </c>
      <c r="N48" s="391">
        <v>9.5</v>
      </c>
      <c r="O48" s="391">
        <v>5.7</v>
      </c>
    </row>
    <row r="49" ht="15.0" customHeight="1">
      <c r="B49" s="106" t="s">
        <v>450</v>
      </c>
      <c r="C49" s="390" t="s">
        <v>402</v>
      </c>
      <c r="D49" s="391">
        <v>1.0</v>
      </c>
      <c r="E49" s="391">
        <v>3.3</v>
      </c>
      <c r="F49" s="391">
        <v>8.4</v>
      </c>
      <c r="G49" s="391">
        <v>13.3</v>
      </c>
      <c r="H49" s="391">
        <v>17.4</v>
      </c>
      <c r="I49" s="391">
        <v>22.0</v>
      </c>
      <c r="J49" s="391">
        <v>24.3</v>
      </c>
      <c r="K49" s="391">
        <v>23.6</v>
      </c>
      <c r="L49" s="391">
        <v>20.0</v>
      </c>
      <c r="M49" s="391">
        <v>14.0</v>
      </c>
      <c r="N49" s="391">
        <v>8.0</v>
      </c>
      <c r="O49" s="391">
        <v>2.9</v>
      </c>
    </row>
    <row r="50" ht="15.0" customHeight="1">
      <c r="B50" s="106" t="s">
        <v>451</v>
      </c>
      <c r="C50" s="390" t="s">
        <v>404</v>
      </c>
      <c r="D50" s="391">
        <v>6.8</v>
      </c>
      <c r="E50" s="391">
        <v>7.4</v>
      </c>
      <c r="F50" s="391">
        <v>10.3</v>
      </c>
      <c r="G50" s="391">
        <v>13.2</v>
      </c>
      <c r="H50" s="391">
        <v>16.9</v>
      </c>
      <c r="I50" s="391">
        <v>21.2</v>
      </c>
      <c r="J50" s="391">
        <v>23.7</v>
      </c>
      <c r="K50" s="391">
        <v>23.3</v>
      </c>
      <c r="L50" s="391">
        <v>20.6</v>
      </c>
      <c r="M50" s="391">
        <v>15.9</v>
      </c>
      <c r="N50" s="391">
        <v>11.3</v>
      </c>
      <c r="O50" s="391">
        <v>7.9</v>
      </c>
    </row>
    <row r="51" ht="15.0" customHeight="1">
      <c r="B51" s="106" t="s">
        <v>452</v>
      </c>
      <c r="C51" s="390" t="s">
        <v>404</v>
      </c>
      <c r="D51" s="391">
        <v>7.7</v>
      </c>
      <c r="E51" s="391">
        <v>8.4</v>
      </c>
      <c r="F51" s="391">
        <v>10.5</v>
      </c>
      <c r="G51" s="391">
        <v>14.2</v>
      </c>
      <c r="H51" s="391">
        <v>18.5</v>
      </c>
      <c r="I51" s="391">
        <v>23.6</v>
      </c>
      <c r="J51" s="391">
        <v>26.7</v>
      </c>
      <c r="K51" s="391">
        <v>26.2</v>
      </c>
      <c r="L51" s="391">
        <v>22.9</v>
      </c>
      <c r="M51" s="391">
        <v>18.0</v>
      </c>
      <c r="N51" s="391">
        <v>13.3</v>
      </c>
      <c r="O51" s="391">
        <v>9.3</v>
      </c>
    </row>
    <row r="52" ht="15.0" customHeight="1">
      <c r="B52" s="106" t="s">
        <v>453</v>
      </c>
      <c r="C52" s="390" t="s">
        <v>400</v>
      </c>
      <c r="D52" s="391">
        <v>11.7</v>
      </c>
      <c r="E52" s="391">
        <v>12.0</v>
      </c>
      <c r="F52" s="391">
        <v>13.2</v>
      </c>
      <c r="G52" s="391">
        <v>15.7</v>
      </c>
      <c r="H52" s="391">
        <v>19.2</v>
      </c>
      <c r="I52" s="391">
        <v>23.5</v>
      </c>
      <c r="J52" s="391">
        <v>26.4</v>
      </c>
      <c r="K52" s="391">
        <v>26.5</v>
      </c>
      <c r="L52" s="391">
        <v>24.2</v>
      </c>
      <c r="M52" s="391">
        <v>20.3</v>
      </c>
      <c r="N52" s="391">
        <v>16.6</v>
      </c>
      <c r="O52" s="391">
        <v>13.3</v>
      </c>
    </row>
    <row r="53" ht="15.0" customHeight="1">
      <c r="B53" s="106" t="s">
        <v>454</v>
      </c>
      <c r="C53" s="390" t="s">
        <v>402</v>
      </c>
      <c r="D53" s="391">
        <v>1.7</v>
      </c>
      <c r="E53" s="391">
        <v>4.2</v>
      </c>
      <c r="F53" s="391">
        <v>9.2</v>
      </c>
      <c r="G53" s="391">
        <v>14.0</v>
      </c>
      <c r="H53" s="391">
        <v>17.9</v>
      </c>
      <c r="I53" s="391">
        <v>22.5</v>
      </c>
      <c r="J53" s="391">
        <v>25.1</v>
      </c>
      <c r="K53" s="391">
        <v>24.1</v>
      </c>
      <c r="L53" s="391">
        <v>20.4</v>
      </c>
      <c r="M53" s="391">
        <v>14.0</v>
      </c>
      <c r="N53" s="391">
        <v>7.9</v>
      </c>
      <c r="O53" s="391">
        <v>3.1</v>
      </c>
    </row>
    <row r="54" ht="15.0" customHeight="1">
      <c r="B54" s="106" t="s">
        <v>455</v>
      </c>
      <c r="C54" s="390" t="s">
        <v>402</v>
      </c>
      <c r="D54" s="391">
        <v>1.4</v>
      </c>
      <c r="E54" s="391">
        <v>3.5</v>
      </c>
      <c r="F54" s="391">
        <v>8.6</v>
      </c>
      <c r="G54" s="391">
        <v>13.3</v>
      </c>
      <c r="H54" s="391">
        <v>17.2</v>
      </c>
      <c r="I54" s="391">
        <v>21.8</v>
      </c>
      <c r="J54" s="391">
        <v>24.3</v>
      </c>
      <c r="K54" s="391">
        <v>23.8</v>
      </c>
      <c r="L54" s="391">
        <v>20.1</v>
      </c>
      <c r="M54" s="391">
        <v>14.0</v>
      </c>
      <c r="N54" s="391">
        <v>8.1</v>
      </c>
      <c r="O54" s="391">
        <v>3.1</v>
      </c>
    </row>
    <row r="55" ht="15.0" customHeight="1">
      <c r="B55" s="106" t="s">
        <v>456</v>
      </c>
      <c r="C55" s="390" t="s">
        <v>83</v>
      </c>
      <c r="D55" s="391">
        <v>10.5</v>
      </c>
      <c r="E55" s="391">
        <v>10.6</v>
      </c>
      <c r="F55" s="391">
        <v>13.2</v>
      </c>
      <c r="G55" s="391">
        <v>16.0</v>
      </c>
      <c r="H55" s="391">
        <v>19.5</v>
      </c>
      <c r="I55" s="391">
        <v>24.1</v>
      </c>
      <c r="J55" s="391">
        <v>26.7</v>
      </c>
      <c r="K55" s="391">
        <v>26.5</v>
      </c>
      <c r="L55" s="391">
        <v>23.8</v>
      </c>
      <c r="M55" s="391">
        <v>19.6</v>
      </c>
      <c r="N55" s="391">
        <v>15.5</v>
      </c>
      <c r="O55" s="391">
        <v>12.1</v>
      </c>
    </row>
    <row r="56" ht="15.0" customHeight="1">
      <c r="B56" s="106" t="s">
        <v>457</v>
      </c>
      <c r="C56" s="390" t="s">
        <v>402</v>
      </c>
      <c r="D56" s="391">
        <v>0.9</v>
      </c>
      <c r="E56" s="391">
        <v>3.3</v>
      </c>
      <c r="F56" s="391">
        <v>8.4</v>
      </c>
      <c r="G56" s="391">
        <v>13.1</v>
      </c>
      <c r="H56" s="391">
        <v>17.4</v>
      </c>
      <c r="I56" s="391">
        <v>21.8</v>
      </c>
      <c r="J56" s="391">
        <v>24.3</v>
      </c>
      <c r="K56" s="391">
        <v>23.3</v>
      </c>
      <c r="L56" s="391">
        <v>19.2</v>
      </c>
      <c r="M56" s="391">
        <v>12.9</v>
      </c>
      <c r="N56" s="391">
        <v>7.1</v>
      </c>
      <c r="O56" s="391">
        <v>2.4</v>
      </c>
    </row>
    <row r="57" ht="15.0" customHeight="1">
      <c r="B57" s="106" t="s">
        <v>458</v>
      </c>
      <c r="C57" s="390" t="s">
        <v>404</v>
      </c>
      <c r="D57" s="391">
        <v>6.2</v>
      </c>
      <c r="E57" s="391">
        <v>6.7</v>
      </c>
      <c r="F57" s="391">
        <v>9.5</v>
      </c>
      <c r="G57" s="391">
        <v>12.4</v>
      </c>
      <c r="H57" s="391">
        <v>15.7</v>
      </c>
      <c r="I57" s="391">
        <v>21.1</v>
      </c>
      <c r="J57" s="391">
        <v>24.3</v>
      </c>
      <c r="K57" s="391">
        <v>24.1</v>
      </c>
      <c r="L57" s="391">
        <v>20.9</v>
      </c>
      <c r="M57" s="391">
        <v>15.7</v>
      </c>
      <c r="N57" s="391">
        <v>11.2</v>
      </c>
      <c r="O57" s="391">
        <v>7.6</v>
      </c>
    </row>
    <row r="58" ht="15.0" customHeight="1">
      <c r="B58" s="106" t="s">
        <v>459</v>
      </c>
      <c r="C58" s="390" t="s">
        <v>83</v>
      </c>
      <c r="D58" s="391">
        <v>9.6</v>
      </c>
      <c r="E58" s="391">
        <v>10.2</v>
      </c>
      <c r="F58" s="391">
        <v>12.3</v>
      </c>
      <c r="G58" s="391">
        <v>14.5</v>
      </c>
      <c r="H58" s="391">
        <v>17.4</v>
      </c>
      <c r="I58" s="391">
        <v>21.4</v>
      </c>
      <c r="J58" s="391">
        <v>23.5</v>
      </c>
      <c r="K58" s="391">
        <v>24.1</v>
      </c>
      <c r="L58" s="391">
        <v>22.6</v>
      </c>
      <c r="M58" s="391">
        <v>18.7</v>
      </c>
      <c r="N58" s="391">
        <v>14.4</v>
      </c>
      <c r="O58" s="391">
        <v>10.8</v>
      </c>
    </row>
    <row r="59" ht="15.0" customHeight="1">
      <c r="B59" s="106" t="s">
        <v>460</v>
      </c>
      <c r="C59" s="390" t="s">
        <v>402</v>
      </c>
      <c r="D59" s="391">
        <v>1.9</v>
      </c>
      <c r="E59" s="391">
        <v>4.0</v>
      </c>
      <c r="F59" s="391">
        <v>8.4</v>
      </c>
      <c r="G59" s="391">
        <v>13.0</v>
      </c>
      <c r="H59" s="391">
        <v>17.1</v>
      </c>
      <c r="I59" s="391">
        <v>21.3</v>
      </c>
      <c r="J59" s="391">
        <v>23.6</v>
      </c>
      <c r="K59" s="391">
        <v>23.1</v>
      </c>
      <c r="L59" s="391">
        <v>19.7</v>
      </c>
      <c r="M59" s="391">
        <v>13.8</v>
      </c>
      <c r="N59" s="391">
        <v>8.2</v>
      </c>
      <c r="O59" s="391">
        <v>3.6</v>
      </c>
    </row>
    <row r="60" ht="15.0" customHeight="1">
      <c r="B60" s="106" t="s">
        <v>461</v>
      </c>
      <c r="C60" s="390" t="s">
        <v>400</v>
      </c>
      <c r="D60" s="391">
        <v>11.1</v>
      </c>
      <c r="E60" s="391">
        <v>11.6</v>
      </c>
      <c r="F60" s="391">
        <v>13.1</v>
      </c>
      <c r="G60" s="391">
        <v>15.5</v>
      </c>
      <c r="H60" s="391">
        <v>18.8</v>
      </c>
      <c r="I60" s="391">
        <v>22.7</v>
      </c>
      <c r="J60" s="391">
        <v>25.5</v>
      </c>
      <c r="K60" s="391">
        <v>25.4</v>
      </c>
      <c r="L60" s="391">
        <v>23.6</v>
      </c>
      <c r="M60" s="391">
        <v>19.8</v>
      </c>
      <c r="N60" s="391">
        <v>16.0</v>
      </c>
      <c r="O60" s="391">
        <v>12.6</v>
      </c>
    </row>
    <row r="61" ht="15.0" customHeight="1">
      <c r="B61" s="106" t="s">
        <v>462</v>
      </c>
      <c r="C61" s="390" t="s">
        <v>402</v>
      </c>
      <c r="D61" s="391">
        <v>0.9</v>
      </c>
      <c r="E61" s="391">
        <v>3.5</v>
      </c>
      <c r="F61" s="391">
        <v>8.9</v>
      </c>
      <c r="G61" s="391">
        <v>13.7</v>
      </c>
      <c r="H61" s="391">
        <v>17.6</v>
      </c>
      <c r="I61" s="391">
        <v>22.2</v>
      </c>
      <c r="J61" s="391">
        <v>24.7</v>
      </c>
      <c r="K61" s="391">
        <v>24.0</v>
      </c>
      <c r="L61" s="391">
        <v>20.2</v>
      </c>
      <c r="M61" s="391">
        <v>14.1</v>
      </c>
      <c r="N61" s="391">
        <v>8.0</v>
      </c>
      <c r="O61" s="391">
        <v>2.8</v>
      </c>
    </row>
    <row r="62" ht="15.0" customHeight="1">
      <c r="B62" s="106" t="s">
        <v>463</v>
      </c>
      <c r="C62" s="390" t="s">
        <v>402</v>
      </c>
      <c r="D62" s="391">
        <v>0.5</v>
      </c>
      <c r="E62" s="391">
        <v>3.2</v>
      </c>
      <c r="F62" s="391">
        <v>8.4</v>
      </c>
      <c r="G62" s="391">
        <v>12.9</v>
      </c>
      <c r="H62" s="391">
        <v>17.1</v>
      </c>
      <c r="I62" s="391">
        <v>21.3</v>
      </c>
      <c r="J62" s="391">
        <v>23.5</v>
      </c>
      <c r="K62" s="391">
        <v>22.7</v>
      </c>
      <c r="L62" s="391">
        <v>19.3</v>
      </c>
      <c r="M62" s="391">
        <v>13.3</v>
      </c>
      <c r="N62" s="391">
        <v>7.1</v>
      </c>
      <c r="O62" s="391">
        <v>2.3</v>
      </c>
    </row>
    <row r="63" ht="15.0" customHeight="1">
      <c r="B63" s="106" t="s">
        <v>464</v>
      </c>
      <c r="C63" s="390" t="s">
        <v>402</v>
      </c>
      <c r="D63" s="391">
        <v>4.0</v>
      </c>
      <c r="E63" s="391">
        <v>5.0</v>
      </c>
      <c r="F63" s="391">
        <v>8.1</v>
      </c>
      <c r="G63" s="391">
        <v>11.5</v>
      </c>
      <c r="H63" s="391">
        <v>15.4</v>
      </c>
      <c r="I63" s="391">
        <v>20.1</v>
      </c>
      <c r="J63" s="391">
        <v>23.1</v>
      </c>
      <c r="K63" s="391">
        <v>22.7</v>
      </c>
      <c r="L63" s="391">
        <v>19.6</v>
      </c>
      <c r="M63" s="391">
        <v>14.1</v>
      </c>
      <c r="N63" s="391">
        <v>9.4</v>
      </c>
      <c r="O63" s="391">
        <v>5.5</v>
      </c>
    </row>
    <row r="64" ht="15.0" customHeight="1">
      <c r="B64" s="106" t="s">
        <v>465</v>
      </c>
      <c r="C64" s="390" t="s">
        <v>404</v>
      </c>
      <c r="D64" s="391">
        <v>3.6</v>
      </c>
      <c r="E64" s="391">
        <v>4.7</v>
      </c>
      <c r="F64" s="391">
        <v>8.4</v>
      </c>
      <c r="G64" s="391">
        <v>12.3</v>
      </c>
      <c r="H64" s="391">
        <v>16.2</v>
      </c>
      <c r="I64" s="391">
        <v>20.6</v>
      </c>
      <c r="J64" s="391">
        <v>23.2</v>
      </c>
      <c r="K64" s="391">
        <v>22.7</v>
      </c>
      <c r="L64" s="391">
        <v>19.7</v>
      </c>
      <c r="M64" s="391">
        <v>14.7</v>
      </c>
      <c r="N64" s="391">
        <v>9.9</v>
      </c>
      <c r="O64" s="391">
        <v>5.4</v>
      </c>
    </row>
    <row r="65" ht="15.0" customHeight="1">
      <c r="B65" s="106" t="s">
        <v>466</v>
      </c>
      <c r="C65" s="390" t="s">
        <v>404</v>
      </c>
      <c r="D65" s="391">
        <v>7.2</v>
      </c>
      <c r="E65" s="391">
        <v>8.4</v>
      </c>
      <c r="F65" s="391">
        <v>10.9</v>
      </c>
      <c r="G65" s="391">
        <v>14.2</v>
      </c>
      <c r="H65" s="391">
        <v>18.5</v>
      </c>
      <c r="I65" s="391">
        <v>22.7</v>
      </c>
      <c r="J65" s="391">
        <v>25.4</v>
      </c>
      <c r="K65" s="391">
        <v>25.0</v>
      </c>
      <c r="L65" s="391">
        <v>22.0</v>
      </c>
      <c r="M65" s="391">
        <v>17.4</v>
      </c>
      <c r="N65" s="391">
        <v>12.5</v>
      </c>
      <c r="O65" s="391">
        <v>8.7</v>
      </c>
    </row>
    <row r="66" ht="15.0" customHeight="1">
      <c r="B66" s="106" t="s">
        <v>467</v>
      </c>
      <c r="C66" s="390" t="s">
        <v>402</v>
      </c>
      <c r="D66" s="391">
        <v>0.1</v>
      </c>
      <c r="E66" s="391">
        <v>2.4</v>
      </c>
      <c r="F66" s="391">
        <v>7.7</v>
      </c>
      <c r="G66" s="391">
        <v>12.2</v>
      </c>
      <c r="H66" s="391">
        <v>16.3</v>
      </c>
      <c r="I66" s="391">
        <v>20.7</v>
      </c>
      <c r="J66" s="391">
        <v>23.2</v>
      </c>
      <c r="K66" s="391">
        <v>22.3</v>
      </c>
      <c r="L66" s="391">
        <v>18.9</v>
      </c>
      <c r="M66" s="391">
        <v>12.8</v>
      </c>
      <c r="N66" s="391">
        <v>6.9</v>
      </c>
      <c r="O66" s="391">
        <v>2.0</v>
      </c>
    </row>
    <row r="67" ht="15.0" customHeight="1">
      <c r="B67" s="106" t="s">
        <v>468</v>
      </c>
      <c r="C67" s="390" t="s">
        <v>404</v>
      </c>
      <c r="D67" s="391">
        <v>6.7</v>
      </c>
      <c r="E67" s="391">
        <v>7.7</v>
      </c>
      <c r="F67" s="391">
        <v>10.6</v>
      </c>
      <c r="G67" s="391">
        <v>13.6</v>
      </c>
      <c r="H67" s="391">
        <v>17.2</v>
      </c>
      <c r="I67" s="391">
        <v>21.1</v>
      </c>
      <c r="J67" s="391">
        <v>23.5</v>
      </c>
      <c r="K67" s="391">
        <v>23.5</v>
      </c>
      <c r="L67" s="391">
        <v>20.9</v>
      </c>
      <c r="M67" s="391">
        <v>16.3</v>
      </c>
      <c r="N67" s="391">
        <v>11.7</v>
      </c>
      <c r="O67" s="391">
        <v>7.8</v>
      </c>
    </row>
    <row r="68" ht="15.0" customHeight="1">
      <c r="B68" s="106" t="s">
        <v>469</v>
      </c>
      <c r="C68" s="390" t="s">
        <v>404</v>
      </c>
      <c r="D68" s="391">
        <v>5.3</v>
      </c>
      <c r="E68" s="391">
        <v>6.5</v>
      </c>
      <c r="F68" s="391">
        <v>9.9</v>
      </c>
      <c r="G68" s="391">
        <v>13.4</v>
      </c>
      <c r="H68" s="391">
        <v>17.2</v>
      </c>
      <c r="I68" s="391">
        <v>21.3</v>
      </c>
      <c r="J68" s="391">
        <v>24.1</v>
      </c>
      <c r="K68" s="391">
        <v>23.6</v>
      </c>
      <c r="L68" s="391">
        <v>20.9</v>
      </c>
      <c r="M68" s="391">
        <v>15.3</v>
      </c>
      <c r="N68" s="391">
        <v>10.4</v>
      </c>
      <c r="O68" s="391">
        <v>6.3</v>
      </c>
    </row>
    <row r="69" ht="15.0" customHeight="1">
      <c r="B69" s="106" t="s">
        <v>470</v>
      </c>
      <c r="C69" s="390" t="s">
        <v>402</v>
      </c>
      <c r="D69" s="391">
        <v>2.3</v>
      </c>
      <c r="E69" s="391">
        <v>4.4</v>
      </c>
      <c r="F69" s="391">
        <v>8.1</v>
      </c>
      <c r="G69" s="391">
        <v>12.1</v>
      </c>
      <c r="H69" s="391">
        <v>15.7</v>
      </c>
      <c r="I69" s="391">
        <v>18.4</v>
      </c>
      <c r="J69" s="391">
        <v>21.5</v>
      </c>
      <c r="K69" s="391">
        <v>21.2</v>
      </c>
      <c r="L69" s="391">
        <v>18.3</v>
      </c>
      <c r="M69" s="391">
        <v>12.9</v>
      </c>
      <c r="N69" s="391">
        <v>7.4</v>
      </c>
      <c r="O69" s="391">
        <v>3.8</v>
      </c>
    </row>
    <row r="70" ht="15.0" customHeight="1">
      <c r="B70" s="106" t="s">
        <v>471</v>
      </c>
      <c r="C70" s="390" t="s">
        <v>402</v>
      </c>
      <c r="D70" s="391">
        <v>3.6</v>
      </c>
      <c r="E70" s="391">
        <v>4.3</v>
      </c>
      <c r="F70" s="391">
        <v>6.8</v>
      </c>
      <c r="G70" s="391">
        <v>10.6</v>
      </c>
      <c r="H70" s="391">
        <v>14.7</v>
      </c>
      <c r="I70" s="391">
        <v>19.1</v>
      </c>
      <c r="J70" s="391">
        <v>21.9</v>
      </c>
      <c r="K70" s="391">
        <v>21.9</v>
      </c>
      <c r="L70" s="391">
        <v>18.9</v>
      </c>
      <c r="M70" s="391">
        <v>13.7</v>
      </c>
      <c r="N70" s="391">
        <v>9.3</v>
      </c>
      <c r="O70" s="391">
        <v>5.2</v>
      </c>
    </row>
    <row r="71" ht="15.0" customHeight="1">
      <c r="B71" s="106" t="s">
        <v>472</v>
      </c>
      <c r="C71" s="390" t="s">
        <v>404</v>
      </c>
      <c r="D71" s="391">
        <v>5.6</v>
      </c>
      <c r="E71" s="391">
        <v>6.9</v>
      </c>
      <c r="F71" s="391">
        <v>10.4</v>
      </c>
      <c r="G71" s="391">
        <v>14.3</v>
      </c>
      <c r="H71" s="391">
        <v>18.0</v>
      </c>
      <c r="I71" s="391">
        <v>22.3</v>
      </c>
      <c r="J71" s="391">
        <v>25.0</v>
      </c>
      <c r="K71" s="391">
        <v>24.7</v>
      </c>
      <c r="L71" s="391">
        <v>21.6</v>
      </c>
      <c r="M71" s="391">
        <v>16.1</v>
      </c>
      <c r="N71" s="391">
        <v>10.9</v>
      </c>
      <c r="O71" s="391">
        <v>6.8</v>
      </c>
    </row>
    <row r="72" ht="15.0" customHeight="1">
      <c r="B72" s="106" t="s">
        <v>473</v>
      </c>
      <c r="C72" s="390" t="s">
        <v>83</v>
      </c>
      <c r="D72" s="391">
        <v>8.6</v>
      </c>
      <c r="E72" s="391">
        <v>9.2</v>
      </c>
      <c r="F72" s="391">
        <v>11.2</v>
      </c>
      <c r="G72" s="391">
        <v>14.1</v>
      </c>
      <c r="H72" s="391">
        <v>18.5</v>
      </c>
      <c r="I72" s="391">
        <v>23.6</v>
      </c>
      <c r="J72" s="391">
        <v>26.6</v>
      </c>
      <c r="K72" s="391">
        <v>26.4</v>
      </c>
      <c r="L72" s="391">
        <v>23.2</v>
      </c>
      <c r="M72" s="391">
        <v>18.4</v>
      </c>
      <c r="N72" s="391">
        <v>14.3</v>
      </c>
      <c r="O72" s="391">
        <v>10.1</v>
      </c>
    </row>
    <row r="73" ht="15.0" customHeight="1">
      <c r="B73" s="106" t="s">
        <v>474</v>
      </c>
      <c r="C73" s="390" t="s">
        <v>402</v>
      </c>
      <c r="D73" s="391">
        <v>1.9</v>
      </c>
      <c r="E73" s="391">
        <v>3.4</v>
      </c>
      <c r="F73" s="391">
        <v>8.1</v>
      </c>
      <c r="G73" s="391">
        <v>12.4</v>
      </c>
      <c r="H73" s="391">
        <v>16.4</v>
      </c>
      <c r="I73" s="391">
        <v>20.9</v>
      </c>
      <c r="J73" s="391">
        <v>23.4</v>
      </c>
      <c r="K73" s="391">
        <v>22.9</v>
      </c>
      <c r="L73" s="391">
        <v>19.7</v>
      </c>
      <c r="M73" s="391">
        <v>14.3</v>
      </c>
      <c r="N73" s="391">
        <v>8.9</v>
      </c>
      <c r="O73" s="391">
        <v>3.8</v>
      </c>
    </row>
    <row r="74" ht="15.0" customHeight="1">
      <c r="B74" s="106" t="s">
        <v>475</v>
      </c>
      <c r="C74" s="390" t="s">
        <v>400</v>
      </c>
      <c r="D74" s="391">
        <v>11.1</v>
      </c>
      <c r="E74" s="391">
        <v>11.5</v>
      </c>
      <c r="F74" s="391">
        <v>12.8</v>
      </c>
      <c r="G74" s="391">
        <v>15.3</v>
      </c>
      <c r="H74" s="391">
        <v>18.7</v>
      </c>
      <c r="I74" s="391">
        <v>23.0</v>
      </c>
      <c r="J74" s="391">
        <v>25.7</v>
      </c>
      <c r="K74" s="391">
        <v>26.1</v>
      </c>
      <c r="L74" s="391">
        <v>23.8</v>
      </c>
      <c r="M74" s="391">
        <v>20.0</v>
      </c>
      <c r="N74" s="391">
        <v>16.5</v>
      </c>
      <c r="O74" s="391">
        <v>12.7</v>
      </c>
    </row>
    <row r="75" ht="15.0" customHeight="1">
      <c r="B75" s="106" t="s">
        <v>476</v>
      </c>
      <c r="C75" s="390" t="s">
        <v>402</v>
      </c>
      <c r="D75" s="391">
        <v>1.1</v>
      </c>
      <c r="E75" s="391">
        <v>3.2</v>
      </c>
      <c r="F75" s="391">
        <v>8.2</v>
      </c>
      <c r="G75" s="391">
        <v>12.7</v>
      </c>
      <c r="H75" s="391">
        <v>16.9</v>
      </c>
      <c r="I75" s="391">
        <v>21.2</v>
      </c>
      <c r="J75" s="391">
        <v>23.8</v>
      </c>
      <c r="K75" s="391">
        <v>22.9</v>
      </c>
      <c r="L75" s="391">
        <v>19.6</v>
      </c>
      <c r="M75" s="391">
        <v>13.3</v>
      </c>
      <c r="N75" s="391">
        <v>7.2</v>
      </c>
      <c r="O75" s="391">
        <v>2.8</v>
      </c>
    </row>
    <row r="76" ht="15.0" customHeight="1">
      <c r="B76" s="106" t="s">
        <v>477</v>
      </c>
      <c r="C76" s="390" t="s">
        <v>402</v>
      </c>
      <c r="D76" s="391">
        <v>3.7</v>
      </c>
      <c r="E76" s="391">
        <v>4.9</v>
      </c>
      <c r="F76" s="391">
        <v>8.1</v>
      </c>
      <c r="G76" s="391">
        <v>11.6</v>
      </c>
      <c r="H76" s="391">
        <v>15.2</v>
      </c>
      <c r="I76" s="391">
        <v>18.8</v>
      </c>
      <c r="J76" s="391">
        <v>21.8</v>
      </c>
      <c r="K76" s="391">
        <v>21.7</v>
      </c>
      <c r="L76" s="391">
        <v>18.9</v>
      </c>
      <c r="M76" s="391">
        <v>13.5</v>
      </c>
      <c r="N76" s="391">
        <v>8.7</v>
      </c>
      <c r="O76" s="391">
        <v>5.1</v>
      </c>
    </row>
    <row r="77" ht="15.0" customHeight="1">
      <c r="B77" s="106" t="s">
        <v>478</v>
      </c>
      <c r="C77" s="390" t="s">
        <v>402</v>
      </c>
      <c r="D77" s="391">
        <v>3.1</v>
      </c>
      <c r="E77" s="391">
        <v>4.9</v>
      </c>
      <c r="F77" s="391">
        <v>8.5</v>
      </c>
      <c r="G77" s="391">
        <v>12.4</v>
      </c>
      <c r="H77" s="391">
        <v>16.5</v>
      </c>
      <c r="I77" s="391">
        <v>20.8</v>
      </c>
      <c r="J77" s="391">
        <v>23.4</v>
      </c>
      <c r="K77" s="391">
        <v>22.7</v>
      </c>
      <c r="L77" s="391">
        <v>19.9</v>
      </c>
      <c r="M77" s="391">
        <v>15.0</v>
      </c>
      <c r="N77" s="391">
        <v>9.6</v>
      </c>
      <c r="O77" s="391">
        <v>5.3</v>
      </c>
    </row>
    <row r="78" ht="15.0" customHeight="1">
      <c r="B78" s="106" t="s">
        <v>479</v>
      </c>
      <c r="C78" s="390" t="s">
        <v>404</v>
      </c>
      <c r="D78" s="391">
        <v>7.6</v>
      </c>
      <c r="E78" s="391">
        <v>8.7</v>
      </c>
      <c r="F78" s="391">
        <v>11.4</v>
      </c>
      <c r="G78" s="391">
        <v>14.7</v>
      </c>
      <c r="H78" s="391">
        <v>18.5</v>
      </c>
      <c r="I78" s="391">
        <v>22.9</v>
      </c>
      <c r="J78" s="391">
        <v>25.7</v>
      </c>
      <c r="K78" s="391">
        <v>25.3</v>
      </c>
      <c r="L78" s="391">
        <v>22.4</v>
      </c>
      <c r="M78" s="391">
        <v>17.4</v>
      </c>
      <c r="N78" s="391">
        <v>12.6</v>
      </c>
      <c r="O78" s="391">
        <v>8.9</v>
      </c>
    </row>
    <row r="79" ht="15.0" customHeight="1">
      <c r="B79" s="106" t="s">
        <v>480</v>
      </c>
      <c r="C79" s="390" t="s">
        <v>402</v>
      </c>
      <c r="D79" s="391">
        <v>1.3</v>
      </c>
      <c r="E79" s="391">
        <v>3.6</v>
      </c>
      <c r="F79" s="391">
        <v>8.5</v>
      </c>
      <c r="G79" s="391">
        <v>13.4</v>
      </c>
      <c r="H79" s="391">
        <v>17.6</v>
      </c>
      <c r="I79" s="391">
        <v>22.0</v>
      </c>
      <c r="J79" s="391">
        <v>24.5</v>
      </c>
      <c r="K79" s="391">
        <v>23.8</v>
      </c>
      <c r="L79" s="391">
        <v>20.1</v>
      </c>
      <c r="M79" s="391">
        <v>14.0</v>
      </c>
      <c r="N79" s="391">
        <v>8.1</v>
      </c>
      <c r="O79" s="391">
        <v>3.1</v>
      </c>
    </row>
    <row r="80" ht="15.0" customHeight="1">
      <c r="B80" s="106" t="s">
        <v>481</v>
      </c>
      <c r="C80" s="390" t="s">
        <v>83</v>
      </c>
      <c r="D80" s="391">
        <v>10.4</v>
      </c>
      <c r="E80" s="391">
        <v>11.3</v>
      </c>
      <c r="F80" s="391">
        <v>13.5</v>
      </c>
      <c r="G80" s="391">
        <v>16.5</v>
      </c>
      <c r="H80" s="391">
        <v>20.1</v>
      </c>
      <c r="I80" s="391">
        <v>23.9</v>
      </c>
      <c r="J80" s="391">
        <v>26.5</v>
      </c>
      <c r="K80" s="391">
        <v>26.6</v>
      </c>
      <c r="L80" s="391">
        <v>24.1</v>
      </c>
      <c r="M80" s="391">
        <v>19.9</v>
      </c>
      <c r="N80" s="391">
        <v>15.7</v>
      </c>
      <c r="O80" s="391">
        <v>12.2</v>
      </c>
    </row>
    <row r="81" ht="15.0" customHeight="1">
      <c r="B81" s="106" t="s">
        <v>482</v>
      </c>
      <c r="C81" s="390" t="s">
        <v>83</v>
      </c>
      <c r="D81" s="391">
        <v>8.7</v>
      </c>
      <c r="E81" s="391">
        <v>9.1</v>
      </c>
      <c r="F81" s="391">
        <v>11.3</v>
      </c>
      <c r="G81" s="391">
        <v>14.0</v>
      </c>
      <c r="H81" s="391">
        <v>16.8</v>
      </c>
      <c r="I81" s="391">
        <v>21.4</v>
      </c>
      <c r="J81" s="391">
        <v>24.0</v>
      </c>
      <c r="K81" s="391">
        <v>24.5</v>
      </c>
      <c r="L81" s="391">
        <v>22.1</v>
      </c>
      <c r="M81" s="391">
        <v>17.5</v>
      </c>
      <c r="N81" s="391">
        <v>13.5</v>
      </c>
      <c r="O81" s="391">
        <v>9.9</v>
      </c>
    </row>
    <row r="82" ht="15.0" customHeight="1">
      <c r="B82" s="106" t="s">
        <v>483</v>
      </c>
      <c r="C82" s="390" t="s">
        <v>404</v>
      </c>
      <c r="D82" s="391">
        <v>6.6</v>
      </c>
      <c r="E82" s="391">
        <v>8.5</v>
      </c>
      <c r="F82" s="391">
        <v>11.4</v>
      </c>
      <c r="G82" s="391">
        <v>14.6</v>
      </c>
      <c r="H82" s="391">
        <v>18.1</v>
      </c>
      <c r="I82" s="391">
        <v>22.2</v>
      </c>
      <c r="J82" s="391">
        <v>24.9</v>
      </c>
      <c r="K82" s="391">
        <v>24.6</v>
      </c>
      <c r="L82" s="391">
        <v>21.9</v>
      </c>
      <c r="M82" s="391">
        <v>16.9</v>
      </c>
      <c r="N82" s="391">
        <v>11.9</v>
      </c>
      <c r="O82" s="391">
        <v>8.2</v>
      </c>
    </row>
    <row r="83" ht="15.0" customHeight="1">
      <c r="B83" s="106" t="s">
        <v>484</v>
      </c>
      <c r="C83" s="390" t="s">
        <v>404</v>
      </c>
      <c r="D83" s="391">
        <v>4.8</v>
      </c>
      <c r="E83" s="391">
        <v>5.7</v>
      </c>
      <c r="F83" s="391">
        <v>9.1</v>
      </c>
      <c r="G83" s="391">
        <v>12.4</v>
      </c>
      <c r="H83" s="391">
        <v>16.3</v>
      </c>
      <c r="I83" s="391">
        <v>21.0</v>
      </c>
      <c r="J83" s="391">
        <v>24.0</v>
      </c>
      <c r="K83" s="391">
        <v>23.7</v>
      </c>
      <c r="L83" s="391">
        <v>20.2</v>
      </c>
      <c r="M83" s="391">
        <v>14.6</v>
      </c>
      <c r="N83" s="391">
        <v>9.8</v>
      </c>
      <c r="O83" s="391">
        <v>6.0</v>
      </c>
    </row>
    <row r="84" ht="15.0" customHeight="1">
      <c r="B84" s="106" t="s">
        <v>485</v>
      </c>
      <c r="C84" s="390" t="s">
        <v>400</v>
      </c>
      <c r="D84" s="391">
        <v>11.3</v>
      </c>
      <c r="E84" s="391">
        <v>11.5</v>
      </c>
      <c r="F84" s="391">
        <v>13.1</v>
      </c>
      <c r="G84" s="391">
        <v>15.4</v>
      </c>
      <c r="H84" s="391">
        <v>18.7</v>
      </c>
      <c r="I84" s="391">
        <v>23.0</v>
      </c>
      <c r="J84" s="391">
        <v>26.2</v>
      </c>
      <c r="K84" s="391">
        <v>26.4</v>
      </c>
      <c r="L84" s="391">
        <v>23.9</v>
      </c>
      <c r="M84" s="391">
        <v>20.1</v>
      </c>
      <c r="N84" s="391">
        <v>16.4</v>
      </c>
      <c r="O84" s="391">
        <v>12.9</v>
      </c>
    </row>
    <row r="85" ht="15.0" customHeight="1">
      <c r="B85" s="106" t="s">
        <v>486</v>
      </c>
      <c r="C85" s="390" t="s">
        <v>402</v>
      </c>
      <c r="D85" s="391">
        <v>0.5</v>
      </c>
      <c r="E85" s="391">
        <v>3.3</v>
      </c>
      <c r="F85" s="391">
        <v>8.2</v>
      </c>
      <c r="G85" s="391">
        <v>12.6</v>
      </c>
      <c r="H85" s="391">
        <v>16.0</v>
      </c>
      <c r="I85" s="391">
        <v>20.0</v>
      </c>
      <c r="J85" s="391">
        <v>22.3</v>
      </c>
      <c r="K85" s="391">
        <v>21.4</v>
      </c>
      <c r="L85" s="391">
        <v>18.1</v>
      </c>
      <c r="M85" s="391">
        <v>12.4</v>
      </c>
      <c r="N85" s="391">
        <v>6.6</v>
      </c>
      <c r="O85" s="391">
        <v>1.7</v>
      </c>
    </row>
    <row r="86" ht="15.0" customHeight="1">
      <c r="B86" s="106" t="s">
        <v>487</v>
      </c>
      <c r="C86" s="390" t="s">
        <v>404</v>
      </c>
      <c r="D86" s="391">
        <v>6.7</v>
      </c>
      <c r="E86" s="391">
        <v>7.3</v>
      </c>
      <c r="F86" s="391">
        <v>10.1</v>
      </c>
      <c r="G86" s="391">
        <v>13.4</v>
      </c>
      <c r="H86" s="391">
        <v>16.7</v>
      </c>
      <c r="I86" s="391">
        <v>20.9</v>
      </c>
      <c r="J86" s="391">
        <v>23.8</v>
      </c>
      <c r="K86" s="391">
        <v>23.7</v>
      </c>
      <c r="L86" s="391">
        <v>21.2</v>
      </c>
      <c r="M86" s="391">
        <v>16.4</v>
      </c>
      <c r="N86" s="391">
        <v>11.9</v>
      </c>
      <c r="O86" s="391">
        <v>8.3</v>
      </c>
      <c r="S86" s="392"/>
    </row>
    <row r="87" ht="15.0" customHeight="1">
      <c r="B87" s="106" t="s">
        <v>488</v>
      </c>
      <c r="C87" s="390" t="s">
        <v>83</v>
      </c>
      <c r="D87" s="391">
        <v>9.2</v>
      </c>
      <c r="E87" s="391">
        <v>9.7</v>
      </c>
      <c r="F87" s="391">
        <v>11.3</v>
      </c>
      <c r="G87" s="391">
        <v>14.5</v>
      </c>
      <c r="H87" s="391">
        <v>18.5</v>
      </c>
      <c r="I87" s="391">
        <v>23.0</v>
      </c>
      <c r="J87" s="391">
        <v>25.9</v>
      </c>
      <c r="K87" s="391">
        <v>25.8</v>
      </c>
      <c r="L87" s="391">
        <v>23.0</v>
      </c>
      <c r="M87" s="391">
        <v>18.7</v>
      </c>
      <c r="N87" s="391">
        <v>14.4</v>
      </c>
      <c r="O87" s="391">
        <v>10.9</v>
      </c>
    </row>
    <row r="88" ht="15.0" customHeight="1">
      <c r="B88" s="106" t="s">
        <v>489</v>
      </c>
      <c r="C88" s="390" t="s">
        <v>404</v>
      </c>
      <c r="D88" s="391">
        <v>5.1</v>
      </c>
      <c r="E88" s="391">
        <v>5.9</v>
      </c>
      <c r="F88" s="391">
        <v>9.0</v>
      </c>
      <c r="G88" s="391">
        <v>12.8</v>
      </c>
      <c r="H88" s="391">
        <v>16.8</v>
      </c>
      <c r="I88" s="391">
        <v>21.4</v>
      </c>
      <c r="J88" s="391">
        <v>24.0</v>
      </c>
      <c r="K88" s="391">
        <v>23.6</v>
      </c>
      <c r="L88" s="391">
        <v>20.4</v>
      </c>
      <c r="M88" s="391">
        <v>15.1</v>
      </c>
      <c r="N88" s="391">
        <v>10.4</v>
      </c>
      <c r="O88" s="391">
        <v>6.6</v>
      </c>
    </row>
    <row r="89" ht="15.0" customHeight="1">
      <c r="B89" s="106" t="s">
        <v>490</v>
      </c>
      <c r="C89" s="390" t="s">
        <v>404</v>
      </c>
      <c r="D89" s="391">
        <v>6.7</v>
      </c>
      <c r="E89" s="391">
        <v>7.6</v>
      </c>
      <c r="F89" s="391">
        <v>10.7</v>
      </c>
      <c r="G89" s="391">
        <v>13.6</v>
      </c>
      <c r="H89" s="391">
        <v>17.6</v>
      </c>
      <c r="I89" s="391">
        <v>22.3</v>
      </c>
      <c r="J89" s="391">
        <v>24.7</v>
      </c>
      <c r="K89" s="391">
        <v>24.3</v>
      </c>
      <c r="L89" s="391">
        <v>21.1</v>
      </c>
      <c r="M89" s="391">
        <v>16.4</v>
      </c>
      <c r="N89" s="391">
        <v>11.3</v>
      </c>
      <c r="O89" s="391">
        <v>6.6</v>
      </c>
    </row>
    <row r="90" ht="15.0" customHeight="1">
      <c r="B90" s="106" t="s">
        <v>283</v>
      </c>
      <c r="C90" s="390" t="s">
        <v>402</v>
      </c>
      <c r="D90" s="391">
        <v>0.4</v>
      </c>
      <c r="E90" s="391">
        <v>3.2</v>
      </c>
      <c r="F90" s="391">
        <v>8.2</v>
      </c>
      <c r="G90" s="391">
        <v>12.7</v>
      </c>
      <c r="H90" s="391">
        <v>16.7</v>
      </c>
      <c r="I90" s="391">
        <v>21.1</v>
      </c>
      <c r="J90" s="391">
        <v>23.3</v>
      </c>
      <c r="K90" s="391">
        <v>22.6</v>
      </c>
      <c r="L90" s="391">
        <v>18.8</v>
      </c>
      <c r="M90" s="391">
        <v>12.6</v>
      </c>
      <c r="N90" s="391">
        <v>6.8</v>
      </c>
      <c r="O90" s="391">
        <v>2.0</v>
      </c>
    </row>
    <row r="91" ht="15.0" customHeight="1">
      <c r="B91" s="106" t="s">
        <v>491</v>
      </c>
      <c r="C91" s="390" t="s">
        <v>400</v>
      </c>
      <c r="D91" s="391">
        <v>11.0</v>
      </c>
      <c r="E91" s="391">
        <v>11.5</v>
      </c>
      <c r="F91" s="391">
        <v>13.2</v>
      </c>
      <c r="G91" s="391">
        <v>15.8</v>
      </c>
      <c r="H91" s="391">
        <v>19.2</v>
      </c>
      <c r="I91" s="391">
        <v>23.3</v>
      </c>
      <c r="J91" s="391">
        <v>25.8</v>
      </c>
      <c r="K91" s="391">
        <v>26.2</v>
      </c>
      <c r="L91" s="391">
        <v>24.0</v>
      </c>
      <c r="M91" s="391">
        <v>19.9</v>
      </c>
      <c r="N91" s="391">
        <v>15.8</v>
      </c>
      <c r="O91" s="391">
        <v>12.4</v>
      </c>
    </row>
    <row r="92" ht="15.0" customHeight="1">
      <c r="B92" s="106" t="s">
        <v>492</v>
      </c>
      <c r="C92" s="390" t="s">
        <v>402</v>
      </c>
      <c r="D92" s="391">
        <v>4.3</v>
      </c>
      <c r="E92" s="391">
        <v>7.3</v>
      </c>
      <c r="F92" s="391">
        <v>11.8</v>
      </c>
      <c r="G92" s="391">
        <v>16.5</v>
      </c>
      <c r="H92" s="391">
        <v>20.0</v>
      </c>
      <c r="I92" s="391">
        <v>24.0</v>
      </c>
      <c r="J92" s="391">
        <v>26.3</v>
      </c>
      <c r="K92" s="391">
        <v>25.5</v>
      </c>
      <c r="L92" s="391">
        <v>22.3</v>
      </c>
      <c r="M92" s="391">
        <v>16.4</v>
      </c>
      <c r="N92" s="391">
        <v>10.2</v>
      </c>
      <c r="O92" s="391">
        <v>5.7</v>
      </c>
    </row>
    <row r="93" ht="15.0" customHeight="1">
      <c r="B93" s="106" t="s">
        <v>493</v>
      </c>
      <c r="C93" s="390" t="s">
        <v>402</v>
      </c>
      <c r="D93" s="391">
        <v>2.8</v>
      </c>
      <c r="E93" s="391">
        <v>4.4</v>
      </c>
      <c r="F93" s="391">
        <v>8.4</v>
      </c>
      <c r="G93" s="391">
        <v>13.2</v>
      </c>
      <c r="H93" s="391">
        <v>17.1</v>
      </c>
      <c r="I93" s="391">
        <v>21.6</v>
      </c>
      <c r="J93" s="391">
        <v>23.8</v>
      </c>
      <c r="K93" s="391">
        <v>23.2</v>
      </c>
      <c r="L93" s="391">
        <v>19.8</v>
      </c>
      <c r="M93" s="391">
        <v>14.0</v>
      </c>
      <c r="N93" s="391">
        <v>8.2</v>
      </c>
      <c r="O93" s="391">
        <v>4.3</v>
      </c>
    </row>
    <row r="94" ht="15.0" customHeight="1">
      <c r="B94" s="106" t="s">
        <v>494</v>
      </c>
      <c r="C94" s="390" t="s">
        <v>404</v>
      </c>
      <c r="D94" s="391">
        <v>4.9</v>
      </c>
      <c r="E94" s="391">
        <v>6.2</v>
      </c>
      <c r="F94" s="391">
        <v>9.4</v>
      </c>
      <c r="G94" s="391">
        <v>13.5</v>
      </c>
      <c r="H94" s="391">
        <v>17.7</v>
      </c>
      <c r="I94" s="391">
        <v>21.9</v>
      </c>
      <c r="J94" s="391">
        <v>24.2</v>
      </c>
      <c r="K94" s="391">
        <v>24.0</v>
      </c>
      <c r="L94" s="391">
        <v>20.7</v>
      </c>
      <c r="M94" s="391">
        <v>15.5</v>
      </c>
      <c r="N94" s="391">
        <v>10.6</v>
      </c>
      <c r="O94" s="391">
        <v>6.9</v>
      </c>
    </row>
    <row r="95" ht="15.0" customHeight="1">
      <c r="B95" s="106" t="s">
        <v>495</v>
      </c>
      <c r="C95" s="390" t="s">
        <v>402</v>
      </c>
      <c r="D95" s="391">
        <v>3.5</v>
      </c>
      <c r="E95" s="391">
        <v>5.0</v>
      </c>
      <c r="F95" s="391">
        <v>8.6</v>
      </c>
      <c r="G95" s="391">
        <v>13.3</v>
      </c>
      <c r="H95" s="391">
        <v>17.3</v>
      </c>
      <c r="I95" s="391">
        <v>21.1</v>
      </c>
      <c r="J95" s="391">
        <v>23.3</v>
      </c>
      <c r="K95" s="391">
        <v>23.1</v>
      </c>
      <c r="L95" s="391">
        <v>19.8</v>
      </c>
      <c r="M95" s="391">
        <v>14.2</v>
      </c>
      <c r="N95" s="391">
        <v>8.7</v>
      </c>
      <c r="O95" s="391">
        <v>4.8</v>
      </c>
    </row>
    <row r="96" ht="15.0" customHeight="1">
      <c r="B96" s="106" t="s">
        <v>496</v>
      </c>
      <c r="C96" s="390" t="s">
        <v>402</v>
      </c>
      <c r="D96" s="391">
        <v>1.2</v>
      </c>
      <c r="E96" s="391">
        <v>1.9</v>
      </c>
      <c r="F96" s="391">
        <v>6.0</v>
      </c>
      <c r="G96" s="391">
        <v>10.4</v>
      </c>
      <c r="H96" s="391">
        <v>14.0</v>
      </c>
      <c r="I96" s="391">
        <v>17.7</v>
      </c>
      <c r="J96" s="391">
        <v>20.5</v>
      </c>
      <c r="K96" s="391">
        <v>19.6</v>
      </c>
      <c r="L96" s="391">
        <v>16.4</v>
      </c>
      <c r="M96" s="391">
        <v>11.2</v>
      </c>
      <c r="N96" s="391">
        <v>5.3</v>
      </c>
      <c r="O96" s="391">
        <v>1.9</v>
      </c>
    </row>
    <row r="97" ht="15.0" customHeight="1">
      <c r="B97" s="106" t="s">
        <v>497</v>
      </c>
      <c r="C97" s="390" t="s">
        <v>402</v>
      </c>
      <c r="D97" s="391">
        <v>3.3</v>
      </c>
      <c r="E97" s="391">
        <v>4.8</v>
      </c>
      <c r="F97" s="391">
        <v>8.6</v>
      </c>
      <c r="G97" s="391">
        <v>13.2</v>
      </c>
      <c r="H97" s="391">
        <v>17.3</v>
      </c>
      <c r="I97" s="391">
        <v>21.3</v>
      </c>
      <c r="J97" s="391">
        <v>23.6</v>
      </c>
      <c r="K97" s="391">
        <v>23.4</v>
      </c>
      <c r="L97" s="391">
        <v>20.4</v>
      </c>
      <c r="M97" s="391">
        <v>14.9</v>
      </c>
      <c r="N97" s="391">
        <v>9.5</v>
      </c>
      <c r="O97" s="391">
        <v>5.0</v>
      </c>
    </row>
    <row r="98" ht="15.0" customHeight="1">
      <c r="B98" s="106" t="s">
        <v>498</v>
      </c>
      <c r="C98" s="390" t="s">
        <v>402</v>
      </c>
      <c r="D98" s="391">
        <v>2.9</v>
      </c>
      <c r="E98" s="391">
        <v>4.6</v>
      </c>
      <c r="F98" s="391">
        <v>8.5</v>
      </c>
      <c r="G98" s="391">
        <v>12.6</v>
      </c>
      <c r="H98" s="391">
        <v>16.6</v>
      </c>
      <c r="I98" s="391">
        <v>20.8</v>
      </c>
      <c r="J98" s="391">
        <v>23.3</v>
      </c>
      <c r="K98" s="391">
        <v>22.6</v>
      </c>
      <c r="L98" s="391">
        <v>19.3</v>
      </c>
      <c r="M98" s="391">
        <v>13.5</v>
      </c>
      <c r="N98" s="391">
        <v>8.1</v>
      </c>
      <c r="O98" s="391">
        <v>4.2</v>
      </c>
    </row>
    <row r="99" ht="15.0" customHeight="1">
      <c r="B99" s="106" t="s">
        <v>499</v>
      </c>
      <c r="C99" s="390" t="s">
        <v>402</v>
      </c>
      <c r="D99" s="391">
        <v>0.2</v>
      </c>
      <c r="E99" s="391">
        <v>2.9</v>
      </c>
      <c r="F99" s="391">
        <v>7.7</v>
      </c>
      <c r="G99" s="391">
        <v>12.5</v>
      </c>
      <c r="H99" s="391">
        <v>17.2</v>
      </c>
      <c r="I99" s="391">
        <v>21.7</v>
      </c>
      <c r="J99" s="391">
        <v>23.8</v>
      </c>
      <c r="K99" s="391">
        <v>22.8</v>
      </c>
      <c r="L99" s="391">
        <v>18.7</v>
      </c>
      <c r="M99" s="391">
        <v>12.7</v>
      </c>
      <c r="N99" s="391">
        <v>6.5</v>
      </c>
      <c r="O99" s="391">
        <v>1.8</v>
      </c>
    </row>
    <row r="100" ht="15.0" customHeight="1">
      <c r="B100" s="106" t="s">
        <v>500</v>
      </c>
      <c r="C100" s="390" t="s">
        <v>404</v>
      </c>
      <c r="D100" s="391">
        <v>2.4</v>
      </c>
      <c r="E100" s="391">
        <v>4.9</v>
      </c>
      <c r="F100" s="391">
        <v>9.3</v>
      </c>
      <c r="G100" s="391">
        <v>13.7</v>
      </c>
      <c r="H100" s="391">
        <v>17.4</v>
      </c>
      <c r="I100" s="391">
        <v>21.7</v>
      </c>
      <c r="J100" s="391">
        <v>23.8</v>
      </c>
      <c r="K100" s="391">
        <v>23.6</v>
      </c>
      <c r="L100" s="391">
        <v>20.2</v>
      </c>
      <c r="M100" s="391">
        <v>14.7</v>
      </c>
      <c r="N100" s="391">
        <v>8.5</v>
      </c>
      <c r="O100" s="391">
        <v>4.3</v>
      </c>
    </row>
    <row r="101" ht="15.0" customHeight="1">
      <c r="B101" s="106" t="s">
        <v>501</v>
      </c>
      <c r="C101" s="390" t="s">
        <v>402</v>
      </c>
      <c r="D101" s="391">
        <v>2.4</v>
      </c>
      <c r="E101" s="391">
        <v>4.2</v>
      </c>
      <c r="F101" s="391">
        <v>8.5</v>
      </c>
      <c r="G101" s="391">
        <v>12.9</v>
      </c>
      <c r="H101" s="391">
        <v>17.0</v>
      </c>
      <c r="I101" s="391">
        <v>21.3</v>
      </c>
      <c r="J101" s="391">
        <v>23.6</v>
      </c>
      <c r="K101" s="391">
        <v>23.0</v>
      </c>
      <c r="L101" s="391">
        <v>19.6</v>
      </c>
      <c r="M101" s="391">
        <v>13.9</v>
      </c>
      <c r="N101" s="391">
        <v>8.5</v>
      </c>
      <c r="O101" s="391">
        <v>4.1</v>
      </c>
    </row>
    <row r="102" ht="15.0" customHeight="1">
      <c r="B102" s="106" t="s">
        <v>502</v>
      </c>
      <c r="C102" s="390" t="s">
        <v>404</v>
      </c>
      <c r="D102" s="391">
        <v>5.7</v>
      </c>
      <c r="E102" s="391">
        <v>6.6</v>
      </c>
      <c r="F102" s="391">
        <v>9.4</v>
      </c>
      <c r="G102" s="391">
        <v>12.7</v>
      </c>
      <c r="H102" s="391">
        <v>16.9</v>
      </c>
      <c r="I102" s="391">
        <v>21.8</v>
      </c>
      <c r="J102" s="391">
        <v>24.8</v>
      </c>
      <c r="K102" s="391">
        <v>24.0</v>
      </c>
      <c r="L102" s="391">
        <v>20.7</v>
      </c>
      <c r="M102" s="391">
        <v>15.9</v>
      </c>
      <c r="N102" s="391">
        <v>11.3</v>
      </c>
      <c r="O102" s="391">
        <v>7.5</v>
      </c>
    </row>
    <row r="103" ht="12.0" customHeight="1">
      <c r="C103" s="393"/>
    </row>
    <row r="104" ht="12.0" customHeight="1">
      <c r="C104" s="393"/>
    </row>
    <row r="105" ht="12.0" customHeight="1">
      <c r="C105" s="393"/>
    </row>
    <row r="106" ht="12.0" customHeight="1">
      <c r="C106" s="393"/>
    </row>
    <row r="107" ht="12.0" customHeight="1">
      <c r="C107" s="393"/>
    </row>
    <row r="108" ht="12.0" customHeight="1">
      <c r="C108" s="393"/>
    </row>
    <row r="109" ht="12.0" customHeight="1">
      <c r="C109" s="393"/>
    </row>
    <row r="110" ht="12.0" customHeight="1">
      <c r="C110" s="393"/>
    </row>
    <row r="111" ht="12.0" customHeight="1">
      <c r="C111" s="393"/>
    </row>
    <row r="112" ht="12.0" customHeight="1">
      <c r="C112" s="393"/>
    </row>
    <row r="113" ht="12.0" customHeight="1">
      <c r="C113" s="393"/>
    </row>
    <row r="114" ht="12.0" customHeight="1">
      <c r="C114" s="393"/>
    </row>
    <row r="115" ht="12.0" customHeight="1">
      <c r="C115" s="393"/>
    </row>
    <row r="116" ht="12.0" customHeight="1">
      <c r="C116" s="393"/>
    </row>
    <row r="117" ht="12.0" customHeight="1">
      <c r="C117" s="393"/>
    </row>
    <row r="118" ht="12.0" customHeight="1">
      <c r="C118" s="393"/>
    </row>
    <row r="119" ht="12.0" customHeight="1">
      <c r="C119" s="393"/>
    </row>
    <row r="120" ht="12.0" customHeight="1">
      <c r="C120" s="393"/>
    </row>
    <row r="121" ht="12.0" customHeight="1">
      <c r="C121" s="393"/>
    </row>
    <row r="122" ht="12.0" customHeight="1">
      <c r="C122" s="393"/>
    </row>
    <row r="123" ht="12.0" customHeight="1">
      <c r="C123" s="393"/>
    </row>
    <row r="124" ht="12.0" customHeight="1">
      <c r="C124" s="393"/>
    </row>
    <row r="125" ht="12.0" customHeight="1">
      <c r="C125" s="393"/>
    </row>
    <row r="126" ht="12.0" customHeight="1">
      <c r="C126" s="393"/>
    </row>
    <row r="127" ht="12.0" customHeight="1">
      <c r="C127" s="393"/>
    </row>
    <row r="128" ht="12.0" customHeight="1">
      <c r="C128" s="393"/>
    </row>
    <row r="129" ht="12.0" customHeight="1">
      <c r="C129" s="393"/>
    </row>
    <row r="130" ht="12.0" customHeight="1">
      <c r="C130" s="393"/>
    </row>
    <row r="131" ht="12.0" customHeight="1">
      <c r="C131" s="393"/>
    </row>
    <row r="132" ht="12.0" customHeight="1">
      <c r="C132" s="393"/>
    </row>
    <row r="133" ht="12.0" customHeight="1">
      <c r="C133" s="393"/>
    </row>
    <row r="134" ht="12.0" customHeight="1">
      <c r="C134" s="393"/>
    </row>
    <row r="135" ht="12.0" customHeight="1">
      <c r="C135" s="393"/>
    </row>
    <row r="136" ht="12.0" customHeight="1">
      <c r="C136" s="393"/>
    </row>
    <row r="137" ht="12.0" customHeight="1">
      <c r="C137" s="393"/>
    </row>
    <row r="138" ht="12.0" customHeight="1">
      <c r="C138" s="393"/>
    </row>
    <row r="139" ht="12.0" customHeight="1">
      <c r="C139" s="393"/>
    </row>
    <row r="140" ht="12.0" customHeight="1">
      <c r="C140" s="393"/>
    </row>
    <row r="141" ht="12.0" customHeight="1">
      <c r="C141" s="393"/>
    </row>
    <row r="142" ht="12.0" customHeight="1">
      <c r="C142" s="393"/>
    </row>
    <row r="143" ht="12.0" customHeight="1">
      <c r="C143" s="393"/>
    </row>
    <row r="144" ht="12.0" customHeight="1">
      <c r="C144" s="393"/>
    </row>
    <row r="145" ht="12.0" customHeight="1">
      <c r="C145" s="393"/>
    </row>
    <row r="146" ht="12.0" customHeight="1">
      <c r="C146" s="393"/>
    </row>
    <row r="147" ht="12.0" customHeight="1">
      <c r="C147" s="393"/>
    </row>
    <row r="148" ht="12.0" customHeight="1">
      <c r="C148" s="393"/>
    </row>
    <row r="149" ht="12.0" customHeight="1">
      <c r="C149" s="393"/>
    </row>
    <row r="150" ht="12.0" customHeight="1">
      <c r="C150" s="393"/>
    </row>
    <row r="151" ht="12.0" customHeight="1">
      <c r="C151" s="393"/>
    </row>
    <row r="152" ht="12.0" customHeight="1">
      <c r="C152" s="393"/>
    </row>
    <row r="153" ht="12.0" customHeight="1">
      <c r="C153" s="393"/>
    </row>
    <row r="154" ht="12.0" customHeight="1">
      <c r="C154" s="393"/>
    </row>
    <row r="155" ht="12.0" customHeight="1">
      <c r="C155" s="393"/>
    </row>
    <row r="156" ht="12.0" customHeight="1">
      <c r="C156" s="393"/>
    </row>
    <row r="157" ht="12.0" customHeight="1">
      <c r="C157" s="393"/>
    </row>
    <row r="158" ht="12.0" customHeight="1">
      <c r="C158" s="393"/>
    </row>
    <row r="159" ht="12.0" customHeight="1">
      <c r="C159" s="393"/>
    </row>
    <row r="160" ht="12.0" customHeight="1">
      <c r="C160" s="393"/>
    </row>
    <row r="161" ht="12.0" customHeight="1">
      <c r="C161" s="393"/>
    </row>
    <row r="162" ht="12.0" customHeight="1">
      <c r="C162" s="393"/>
    </row>
    <row r="163" ht="12.0" customHeight="1">
      <c r="C163" s="393"/>
    </row>
    <row r="164" ht="12.0" customHeight="1">
      <c r="C164" s="393"/>
    </row>
    <row r="165" ht="12.0" customHeight="1">
      <c r="C165" s="393"/>
    </row>
    <row r="166" ht="12.0" customHeight="1">
      <c r="C166" s="393"/>
    </row>
    <row r="167" ht="12.0" customHeight="1">
      <c r="C167" s="393"/>
    </row>
    <row r="168" ht="12.0" customHeight="1">
      <c r="C168" s="393"/>
    </row>
    <row r="169" ht="12.0" customHeight="1">
      <c r="C169" s="393"/>
    </row>
    <row r="170" ht="12.0" customHeight="1">
      <c r="C170" s="393"/>
    </row>
    <row r="171" ht="12.0" customHeight="1">
      <c r="C171" s="393"/>
    </row>
    <row r="172" ht="12.0" customHeight="1">
      <c r="C172" s="393"/>
    </row>
    <row r="173" ht="12.0" customHeight="1">
      <c r="C173" s="393"/>
    </row>
    <row r="174" ht="12.0" customHeight="1">
      <c r="C174" s="393"/>
    </row>
    <row r="175" ht="12.0" customHeight="1">
      <c r="C175" s="393"/>
    </row>
    <row r="176" ht="12.0" customHeight="1">
      <c r="C176" s="393"/>
    </row>
    <row r="177" ht="12.0" customHeight="1">
      <c r="C177" s="393"/>
    </row>
    <row r="178" ht="12.0" customHeight="1">
      <c r="C178" s="393"/>
    </row>
    <row r="179" ht="12.0" customHeight="1">
      <c r="C179" s="393"/>
    </row>
    <row r="180" ht="12.0" customHeight="1">
      <c r="C180" s="393"/>
    </row>
    <row r="181" ht="12.0" customHeight="1">
      <c r="C181" s="393"/>
    </row>
    <row r="182" ht="12.0" customHeight="1">
      <c r="C182" s="393"/>
    </row>
    <row r="183" ht="12.0" customHeight="1">
      <c r="C183" s="393"/>
    </row>
    <row r="184" ht="12.0" customHeight="1">
      <c r="C184" s="393"/>
    </row>
    <row r="185" ht="12.0" customHeight="1">
      <c r="C185" s="393"/>
    </row>
    <row r="186" ht="12.0" customHeight="1">
      <c r="C186" s="393"/>
    </row>
    <row r="187" ht="12.0" customHeight="1">
      <c r="C187" s="393"/>
    </row>
    <row r="188" ht="12.0" customHeight="1">
      <c r="C188" s="393"/>
    </row>
    <row r="189" ht="12.0" customHeight="1">
      <c r="C189" s="393"/>
    </row>
    <row r="190" ht="12.0" customHeight="1">
      <c r="C190" s="393"/>
    </row>
    <row r="191" ht="12.0" customHeight="1">
      <c r="C191" s="393"/>
    </row>
    <row r="192" ht="12.0" customHeight="1">
      <c r="C192" s="393"/>
    </row>
    <row r="193" ht="12.0" customHeight="1">
      <c r="C193" s="393"/>
    </row>
    <row r="194" ht="12.0" customHeight="1">
      <c r="C194" s="393"/>
    </row>
    <row r="195" ht="12.0" customHeight="1">
      <c r="C195" s="393"/>
    </row>
    <row r="196" ht="12.0" customHeight="1">
      <c r="C196" s="393"/>
    </row>
    <row r="197" ht="12.0" customHeight="1">
      <c r="C197" s="393"/>
    </row>
    <row r="198" ht="12.0" customHeight="1">
      <c r="C198" s="393"/>
    </row>
    <row r="199" ht="12.0" customHeight="1">
      <c r="C199" s="393"/>
    </row>
    <row r="200" ht="12.0" customHeight="1">
      <c r="C200" s="393"/>
    </row>
    <row r="201" ht="12.0" customHeight="1">
      <c r="C201" s="393"/>
    </row>
    <row r="202" ht="12.0" customHeight="1">
      <c r="C202" s="393"/>
    </row>
    <row r="203" ht="12.0" customHeight="1">
      <c r="C203" s="393"/>
    </row>
    <row r="204" ht="12.0" customHeight="1">
      <c r="C204" s="393"/>
    </row>
    <row r="205" ht="12.0" customHeight="1">
      <c r="C205" s="393"/>
    </row>
    <row r="206" ht="12.0" customHeight="1">
      <c r="C206" s="393"/>
    </row>
    <row r="207" ht="12.0" customHeight="1">
      <c r="C207" s="393"/>
    </row>
    <row r="208" ht="12.0" customHeight="1">
      <c r="C208" s="393"/>
    </row>
    <row r="209" ht="12.0" customHeight="1">
      <c r="C209" s="393"/>
    </row>
    <row r="210" ht="12.0" customHeight="1">
      <c r="C210" s="393"/>
    </row>
    <row r="211" ht="12.0" customHeight="1">
      <c r="C211" s="393"/>
    </row>
    <row r="212" ht="12.0" customHeight="1">
      <c r="C212" s="393"/>
    </row>
    <row r="213" ht="12.0" customHeight="1">
      <c r="C213" s="393"/>
    </row>
    <row r="214" ht="12.0" customHeight="1">
      <c r="C214" s="393"/>
    </row>
    <row r="215" ht="12.0" customHeight="1">
      <c r="C215" s="393"/>
    </row>
    <row r="216" ht="12.0" customHeight="1">
      <c r="C216" s="393"/>
    </row>
    <row r="217" ht="12.0" customHeight="1">
      <c r="C217" s="393"/>
    </row>
    <row r="218" ht="12.0" customHeight="1">
      <c r="C218" s="393"/>
    </row>
    <row r="219" ht="12.0" customHeight="1">
      <c r="C219" s="393"/>
    </row>
    <row r="220" ht="12.0" customHeight="1">
      <c r="C220" s="393"/>
    </row>
    <row r="221" ht="12.0" customHeight="1">
      <c r="C221" s="393"/>
    </row>
    <row r="222" ht="12.0" customHeight="1">
      <c r="C222" s="393"/>
    </row>
    <row r="223" ht="12.0" customHeight="1">
      <c r="C223" s="393"/>
    </row>
    <row r="224" ht="12.0" customHeight="1">
      <c r="C224" s="393"/>
    </row>
    <row r="225" ht="12.0" customHeight="1">
      <c r="C225" s="393"/>
    </row>
    <row r="226" ht="12.0" customHeight="1">
      <c r="C226" s="393"/>
    </row>
    <row r="227" ht="12.0" customHeight="1">
      <c r="C227" s="393"/>
    </row>
    <row r="228" ht="12.0" customHeight="1">
      <c r="C228" s="393"/>
    </row>
    <row r="229" ht="12.0" customHeight="1">
      <c r="C229" s="393"/>
    </row>
    <row r="230" ht="12.0" customHeight="1">
      <c r="C230" s="393"/>
    </row>
    <row r="231" ht="12.0" customHeight="1">
      <c r="C231" s="393"/>
    </row>
    <row r="232" ht="12.0" customHeight="1">
      <c r="C232" s="393"/>
    </row>
    <row r="233" ht="12.0" customHeight="1">
      <c r="C233" s="393"/>
    </row>
    <row r="234" ht="12.0" customHeight="1">
      <c r="C234" s="393"/>
    </row>
    <row r="235" ht="12.0" customHeight="1">
      <c r="C235" s="393"/>
    </row>
    <row r="236" ht="12.0" customHeight="1">
      <c r="C236" s="393"/>
    </row>
    <row r="237" ht="12.0" customHeight="1">
      <c r="C237" s="393"/>
    </row>
    <row r="238" ht="12.0" customHeight="1">
      <c r="C238" s="393"/>
    </row>
    <row r="239" ht="12.0" customHeight="1">
      <c r="C239" s="393"/>
    </row>
    <row r="240" ht="12.0" customHeight="1">
      <c r="C240" s="393"/>
    </row>
    <row r="241" ht="12.0" customHeight="1">
      <c r="C241" s="393"/>
    </row>
    <row r="242" ht="12.0" customHeight="1">
      <c r="C242" s="393"/>
    </row>
    <row r="243" ht="12.0" customHeight="1">
      <c r="C243" s="393"/>
    </row>
    <row r="244" ht="12.0" customHeight="1">
      <c r="C244" s="393"/>
    </row>
    <row r="245" ht="12.0" customHeight="1">
      <c r="C245" s="393"/>
    </row>
    <row r="246" ht="12.0" customHeight="1">
      <c r="C246" s="393"/>
    </row>
    <row r="247" ht="12.0" customHeight="1">
      <c r="C247" s="393"/>
    </row>
    <row r="248" ht="12.0" customHeight="1">
      <c r="C248" s="393"/>
    </row>
    <row r="249" ht="12.0" customHeight="1">
      <c r="C249" s="393"/>
    </row>
    <row r="250" ht="12.0" customHeight="1">
      <c r="C250" s="393"/>
    </row>
    <row r="251" ht="12.0" customHeight="1">
      <c r="C251" s="393"/>
    </row>
    <row r="252" ht="12.0" customHeight="1">
      <c r="C252" s="393"/>
    </row>
    <row r="253" ht="12.0" customHeight="1">
      <c r="C253" s="393"/>
    </row>
    <row r="254" ht="12.0" customHeight="1">
      <c r="C254" s="393"/>
    </row>
    <row r="255" ht="12.0" customHeight="1">
      <c r="C255" s="393"/>
    </row>
    <row r="256" ht="12.0" customHeight="1">
      <c r="C256" s="393"/>
    </row>
    <row r="257" ht="12.0" customHeight="1">
      <c r="C257" s="393"/>
    </row>
    <row r="258" ht="12.0" customHeight="1">
      <c r="C258" s="393"/>
    </row>
    <row r="259" ht="12.0" customHeight="1">
      <c r="C259" s="393"/>
    </row>
    <row r="260" ht="12.0" customHeight="1">
      <c r="C260" s="393"/>
    </row>
    <row r="261" ht="12.0" customHeight="1">
      <c r="C261" s="393"/>
    </row>
    <row r="262" ht="12.0" customHeight="1">
      <c r="C262" s="393"/>
    </row>
    <row r="263" ht="12.0" customHeight="1">
      <c r="C263" s="393"/>
    </row>
    <row r="264" ht="12.0" customHeight="1">
      <c r="C264" s="393"/>
    </row>
    <row r="265" ht="12.0" customHeight="1">
      <c r="C265" s="393"/>
    </row>
    <row r="266" ht="12.0" customHeight="1">
      <c r="C266" s="393"/>
    </row>
    <row r="267" ht="12.0" customHeight="1">
      <c r="C267" s="393"/>
    </row>
    <row r="268" ht="12.0" customHeight="1">
      <c r="C268" s="393"/>
    </row>
    <row r="269" ht="12.0" customHeight="1">
      <c r="C269" s="393"/>
    </row>
    <row r="270" ht="12.0" customHeight="1">
      <c r="C270" s="393"/>
    </row>
    <row r="271" ht="12.0" customHeight="1">
      <c r="C271" s="393"/>
    </row>
    <row r="272" ht="12.0" customHeight="1">
      <c r="C272" s="393"/>
    </row>
    <row r="273" ht="12.0" customHeight="1">
      <c r="C273" s="393"/>
    </row>
    <row r="274" ht="12.0" customHeight="1">
      <c r="C274" s="393"/>
    </row>
    <row r="275" ht="12.0" customHeight="1">
      <c r="C275" s="393"/>
    </row>
    <row r="276" ht="12.0" customHeight="1">
      <c r="C276" s="393"/>
    </row>
    <row r="277" ht="12.0" customHeight="1">
      <c r="C277" s="393"/>
    </row>
    <row r="278" ht="12.0" customHeight="1">
      <c r="C278" s="393"/>
    </row>
    <row r="279" ht="12.0" customHeight="1">
      <c r="C279" s="393"/>
    </row>
    <row r="280" ht="12.0" customHeight="1">
      <c r="C280" s="393"/>
    </row>
    <row r="281" ht="12.0" customHeight="1">
      <c r="C281" s="393"/>
    </row>
    <row r="282" ht="12.0" customHeight="1">
      <c r="C282" s="393"/>
    </row>
    <row r="283" ht="12.0" customHeight="1">
      <c r="C283" s="393"/>
    </row>
    <row r="284" ht="12.0" customHeight="1">
      <c r="C284" s="393"/>
    </row>
    <row r="285" ht="12.0" customHeight="1">
      <c r="C285" s="393"/>
    </row>
    <row r="286" ht="12.0" customHeight="1">
      <c r="C286" s="393"/>
    </row>
    <row r="287" ht="12.0" customHeight="1">
      <c r="C287" s="393"/>
    </row>
    <row r="288" ht="12.0" customHeight="1">
      <c r="C288" s="393"/>
    </row>
    <row r="289" ht="12.0" customHeight="1">
      <c r="C289" s="393"/>
    </row>
    <row r="290" ht="12.0" customHeight="1">
      <c r="C290" s="393"/>
    </row>
    <row r="291" ht="12.0" customHeight="1">
      <c r="C291" s="393"/>
    </row>
    <row r="292" ht="12.0" customHeight="1">
      <c r="C292" s="393"/>
    </row>
    <row r="293" ht="12.0" customHeight="1">
      <c r="C293" s="393"/>
    </row>
    <row r="294" ht="12.0" customHeight="1">
      <c r="C294" s="393"/>
    </row>
    <row r="295" ht="12.0" customHeight="1">
      <c r="C295" s="393"/>
    </row>
    <row r="296" ht="12.0" customHeight="1">
      <c r="C296" s="393"/>
    </row>
    <row r="297" ht="12.0" customHeight="1">
      <c r="C297" s="393"/>
    </row>
    <row r="298" ht="12.0" customHeight="1">
      <c r="C298" s="393"/>
    </row>
    <row r="299" ht="12.0" customHeight="1">
      <c r="C299" s="393"/>
    </row>
    <row r="300" ht="12.0" customHeight="1">
      <c r="C300" s="393"/>
    </row>
    <row r="301" ht="12.0" customHeight="1">
      <c r="C301" s="393"/>
    </row>
    <row r="302" ht="12.0" customHeight="1">
      <c r="C302" s="393"/>
    </row>
    <row r="303" ht="12.0" customHeight="1">
      <c r="C303" s="393"/>
    </row>
    <row r="304" ht="12.0" customHeight="1">
      <c r="C304" s="393"/>
    </row>
    <row r="305" ht="12.0" customHeight="1">
      <c r="C305" s="393"/>
    </row>
    <row r="306" ht="12.0" customHeight="1">
      <c r="C306" s="393"/>
    </row>
    <row r="307" ht="12.0" customHeight="1">
      <c r="C307" s="393"/>
    </row>
    <row r="308" ht="12.0" customHeight="1">
      <c r="C308" s="393"/>
    </row>
    <row r="309" ht="12.0" customHeight="1">
      <c r="C309" s="393"/>
    </row>
    <row r="310" ht="12.0" customHeight="1">
      <c r="C310" s="393"/>
    </row>
    <row r="311" ht="12.0" customHeight="1">
      <c r="C311" s="393"/>
    </row>
    <row r="312" ht="12.0" customHeight="1">
      <c r="C312" s="393"/>
    </row>
    <row r="313" ht="12.0" customHeight="1">
      <c r="C313" s="393"/>
    </row>
    <row r="314" ht="12.0" customHeight="1">
      <c r="C314" s="393"/>
    </row>
    <row r="315" ht="12.0" customHeight="1">
      <c r="C315" s="393"/>
    </row>
    <row r="316" ht="12.0" customHeight="1">
      <c r="C316" s="393"/>
    </row>
    <row r="317" ht="12.0" customHeight="1">
      <c r="C317" s="393"/>
    </row>
    <row r="318" ht="12.0" customHeight="1">
      <c r="C318" s="393"/>
    </row>
    <row r="319" ht="12.0" customHeight="1">
      <c r="C319" s="393"/>
    </row>
    <row r="320" ht="12.0" customHeight="1">
      <c r="C320" s="393"/>
    </row>
    <row r="321" ht="12.0" customHeight="1">
      <c r="C321" s="393"/>
    </row>
    <row r="322" ht="12.0" customHeight="1">
      <c r="C322" s="393"/>
    </row>
    <row r="323" ht="12.0" customHeight="1">
      <c r="C323" s="393"/>
    </row>
    <row r="324" ht="12.0" customHeight="1">
      <c r="C324" s="393"/>
    </row>
    <row r="325" ht="12.0" customHeight="1">
      <c r="C325" s="393"/>
    </row>
    <row r="326" ht="12.0" customHeight="1">
      <c r="C326" s="393"/>
    </row>
    <row r="327" ht="12.0" customHeight="1">
      <c r="C327" s="393"/>
    </row>
    <row r="328" ht="12.0" customHeight="1">
      <c r="C328" s="393"/>
    </row>
    <row r="329" ht="12.0" customHeight="1">
      <c r="C329" s="393"/>
    </row>
    <row r="330" ht="12.0" customHeight="1">
      <c r="C330" s="393"/>
    </row>
    <row r="331" ht="12.0" customHeight="1">
      <c r="C331" s="393"/>
    </row>
    <row r="332" ht="12.0" customHeight="1">
      <c r="C332" s="393"/>
    </row>
    <row r="333" ht="12.0" customHeight="1">
      <c r="C333" s="393"/>
    </row>
    <row r="334" ht="12.0" customHeight="1">
      <c r="C334" s="393"/>
    </row>
    <row r="335" ht="12.0" customHeight="1">
      <c r="C335" s="393"/>
    </row>
    <row r="336" ht="12.0" customHeight="1">
      <c r="C336" s="393"/>
    </row>
    <row r="337" ht="12.0" customHeight="1">
      <c r="C337" s="393"/>
    </row>
    <row r="338" ht="12.0" customHeight="1">
      <c r="C338" s="393"/>
    </row>
    <row r="339" ht="12.0" customHeight="1">
      <c r="C339" s="393"/>
    </row>
    <row r="340" ht="12.0" customHeight="1">
      <c r="C340" s="393"/>
    </row>
    <row r="341" ht="12.0" customHeight="1">
      <c r="C341" s="393"/>
    </row>
    <row r="342" ht="12.0" customHeight="1">
      <c r="C342" s="393"/>
    </row>
    <row r="343" ht="12.0" customHeight="1">
      <c r="C343" s="393"/>
    </row>
    <row r="344" ht="12.0" customHeight="1">
      <c r="C344" s="393"/>
    </row>
    <row r="345" ht="12.0" customHeight="1">
      <c r="C345" s="393"/>
    </row>
    <row r="346" ht="12.0" customHeight="1">
      <c r="C346" s="393"/>
    </row>
    <row r="347" ht="12.0" customHeight="1">
      <c r="C347" s="393"/>
    </row>
    <row r="348" ht="12.0" customHeight="1">
      <c r="C348" s="393"/>
    </row>
    <row r="349" ht="12.0" customHeight="1">
      <c r="C349" s="393"/>
    </row>
    <row r="350" ht="12.0" customHeight="1">
      <c r="C350" s="393"/>
    </row>
    <row r="351" ht="12.0" customHeight="1">
      <c r="C351" s="393"/>
    </row>
    <row r="352" ht="12.0" customHeight="1">
      <c r="C352" s="393"/>
    </row>
    <row r="353" ht="12.0" customHeight="1">
      <c r="C353" s="393"/>
    </row>
    <row r="354" ht="12.0" customHeight="1">
      <c r="C354" s="393"/>
    </row>
    <row r="355" ht="12.0" customHeight="1">
      <c r="C355" s="393"/>
    </row>
    <row r="356" ht="12.0" customHeight="1">
      <c r="C356" s="393"/>
    </row>
    <row r="357" ht="12.0" customHeight="1">
      <c r="C357" s="393"/>
    </row>
    <row r="358" ht="12.0" customHeight="1">
      <c r="C358" s="393"/>
    </row>
    <row r="359" ht="12.0" customHeight="1">
      <c r="C359" s="393"/>
    </row>
    <row r="360" ht="12.0" customHeight="1">
      <c r="C360" s="393"/>
    </row>
    <row r="361" ht="12.0" customHeight="1">
      <c r="C361" s="393"/>
    </row>
    <row r="362" ht="12.0" customHeight="1">
      <c r="C362" s="393"/>
    </row>
    <row r="363" ht="12.0" customHeight="1">
      <c r="C363" s="393"/>
    </row>
    <row r="364" ht="12.0" customHeight="1">
      <c r="C364" s="393"/>
    </row>
    <row r="365" ht="12.0" customHeight="1">
      <c r="C365" s="393"/>
    </row>
    <row r="366" ht="12.0" customHeight="1">
      <c r="C366" s="393"/>
    </row>
    <row r="367" ht="12.0" customHeight="1">
      <c r="C367" s="393"/>
    </row>
    <row r="368" ht="12.0" customHeight="1">
      <c r="C368" s="393"/>
    </row>
    <row r="369" ht="12.0" customHeight="1">
      <c r="C369" s="393"/>
    </row>
    <row r="370" ht="12.0" customHeight="1">
      <c r="C370" s="393"/>
    </row>
    <row r="371" ht="12.0" customHeight="1">
      <c r="C371" s="393"/>
    </row>
    <row r="372" ht="12.0" customHeight="1">
      <c r="C372" s="393"/>
    </row>
    <row r="373" ht="12.0" customHeight="1">
      <c r="C373" s="393"/>
    </row>
    <row r="374" ht="12.0" customHeight="1">
      <c r="C374" s="393"/>
    </row>
    <row r="375" ht="12.0" customHeight="1">
      <c r="C375" s="393"/>
    </row>
    <row r="376" ht="12.0" customHeight="1">
      <c r="C376" s="393"/>
    </row>
    <row r="377" ht="12.0" customHeight="1">
      <c r="C377" s="393"/>
    </row>
    <row r="378" ht="12.0" customHeight="1">
      <c r="C378" s="393"/>
    </row>
    <row r="379" ht="12.0" customHeight="1">
      <c r="C379" s="393"/>
    </row>
    <row r="380" ht="12.0" customHeight="1">
      <c r="C380" s="393"/>
    </row>
    <row r="381" ht="12.0" customHeight="1">
      <c r="C381" s="393"/>
    </row>
    <row r="382" ht="12.0" customHeight="1">
      <c r="C382" s="393"/>
    </row>
    <row r="383" ht="12.0" customHeight="1">
      <c r="C383" s="393"/>
    </row>
    <row r="384" ht="12.0" customHeight="1">
      <c r="C384" s="393"/>
    </row>
    <row r="385" ht="12.0" customHeight="1">
      <c r="C385" s="393"/>
    </row>
    <row r="386" ht="12.0" customHeight="1">
      <c r="C386" s="393"/>
    </row>
    <row r="387" ht="12.0" customHeight="1">
      <c r="C387" s="393"/>
    </row>
    <row r="388" ht="12.0" customHeight="1">
      <c r="C388" s="393"/>
    </row>
    <row r="389" ht="12.0" customHeight="1">
      <c r="C389" s="393"/>
    </row>
    <row r="390" ht="12.0" customHeight="1">
      <c r="C390" s="393"/>
    </row>
    <row r="391" ht="12.0" customHeight="1">
      <c r="C391" s="393"/>
    </row>
    <row r="392" ht="12.0" customHeight="1">
      <c r="C392" s="393"/>
    </row>
    <row r="393" ht="12.0" customHeight="1">
      <c r="C393" s="393"/>
    </row>
    <row r="394" ht="12.0" customHeight="1">
      <c r="C394" s="393"/>
    </row>
    <row r="395" ht="12.0" customHeight="1">
      <c r="C395" s="393"/>
    </row>
    <row r="396" ht="12.0" customHeight="1">
      <c r="C396" s="393"/>
    </row>
    <row r="397" ht="12.0" customHeight="1">
      <c r="C397" s="393"/>
    </row>
    <row r="398" ht="12.0" customHeight="1">
      <c r="C398" s="393"/>
    </row>
    <row r="399" ht="12.0" customHeight="1">
      <c r="C399" s="393"/>
    </row>
    <row r="400" ht="12.0" customHeight="1">
      <c r="C400" s="393"/>
    </row>
    <row r="401" ht="12.0" customHeight="1">
      <c r="C401" s="393"/>
    </row>
    <row r="402" ht="12.0" customHeight="1">
      <c r="C402" s="393"/>
    </row>
    <row r="403" ht="12.0" customHeight="1">
      <c r="C403" s="393"/>
    </row>
    <row r="404" ht="12.0" customHeight="1">
      <c r="C404" s="393"/>
    </row>
    <row r="405" ht="12.0" customHeight="1">
      <c r="C405" s="393"/>
    </row>
    <row r="406" ht="12.0" customHeight="1">
      <c r="C406" s="393"/>
    </row>
    <row r="407" ht="12.0" customHeight="1">
      <c r="C407" s="393"/>
    </row>
    <row r="408" ht="12.0" customHeight="1">
      <c r="C408" s="393"/>
    </row>
    <row r="409" ht="12.0" customHeight="1">
      <c r="C409" s="393"/>
    </row>
    <row r="410" ht="12.0" customHeight="1">
      <c r="C410" s="393"/>
    </row>
    <row r="411" ht="12.0" customHeight="1">
      <c r="C411" s="393"/>
    </row>
    <row r="412" ht="12.0" customHeight="1">
      <c r="C412" s="393"/>
    </row>
    <row r="413" ht="12.0" customHeight="1">
      <c r="C413" s="393"/>
    </row>
    <row r="414" ht="12.0" customHeight="1">
      <c r="C414" s="393"/>
    </row>
    <row r="415" ht="12.0" customHeight="1">
      <c r="C415" s="393"/>
    </row>
    <row r="416" ht="12.0" customHeight="1">
      <c r="C416" s="393"/>
    </row>
    <row r="417" ht="12.0" customHeight="1">
      <c r="C417" s="393"/>
    </row>
    <row r="418" ht="12.0" customHeight="1">
      <c r="C418" s="393"/>
    </row>
    <row r="419" ht="12.0" customHeight="1">
      <c r="C419" s="393"/>
    </row>
    <row r="420" ht="12.0" customHeight="1">
      <c r="C420" s="393"/>
    </row>
    <row r="421" ht="12.0" customHeight="1">
      <c r="C421" s="393"/>
    </row>
    <row r="422" ht="12.0" customHeight="1">
      <c r="C422" s="393"/>
    </row>
    <row r="423" ht="12.0" customHeight="1">
      <c r="C423" s="393"/>
    </row>
    <row r="424" ht="12.0" customHeight="1">
      <c r="C424" s="393"/>
    </row>
    <row r="425" ht="12.0" customHeight="1">
      <c r="C425" s="393"/>
    </row>
    <row r="426" ht="12.0" customHeight="1">
      <c r="C426" s="393"/>
    </row>
    <row r="427" ht="12.0" customHeight="1">
      <c r="C427" s="393"/>
    </row>
    <row r="428" ht="12.0" customHeight="1">
      <c r="C428" s="393"/>
    </row>
    <row r="429" ht="12.0" customHeight="1">
      <c r="C429" s="393"/>
    </row>
    <row r="430" ht="12.0" customHeight="1">
      <c r="C430" s="393"/>
    </row>
    <row r="431" ht="12.0" customHeight="1">
      <c r="C431" s="393"/>
    </row>
    <row r="432" ht="12.0" customHeight="1">
      <c r="C432" s="393"/>
    </row>
    <row r="433" ht="12.0" customHeight="1">
      <c r="C433" s="393"/>
    </row>
    <row r="434" ht="12.0" customHeight="1">
      <c r="C434" s="393"/>
    </row>
    <row r="435" ht="12.0" customHeight="1">
      <c r="C435" s="393"/>
    </row>
    <row r="436" ht="12.0" customHeight="1">
      <c r="C436" s="393"/>
    </row>
    <row r="437" ht="12.0" customHeight="1">
      <c r="C437" s="393"/>
    </row>
    <row r="438" ht="12.0" customHeight="1">
      <c r="C438" s="393"/>
    </row>
    <row r="439" ht="12.0" customHeight="1">
      <c r="C439" s="393"/>
    </row>
    <row r="440" ht="12.0" customHeight="1">
      <c r="C440" s="393"/>
    </row>
    <row r="441" ht="12.0" customHeight="1">
      <c r="C441" s="393"/>
    </row>
    <row r="442" ht="12.0" customHeight="1">
      <c r="C442" s="393"/>
    </row>
    <row r="443" ht="12.0" customHeight="1">
      <c r="C443" s="393"/>
    </row>
    <row r="444" ht="12.0" customHeight="1">
      <c r="C444" s="393"/>
    </row>
    <row r="445" ht="12.0" customHeight="1">
      <c r="C445" s="393"/>
    </row>
    <row r="446" ht="12.0" customHeight="1">
      <c r="C446" s="393"/>
    </row>
    <row r="447" ht="12.0" customHeight="1">
      <c r="C447" s="393"/>
    </row>
    <row r="448" ht="12.0" customHeight="1">
      <c r="C448" s="393"/>
    </row>
    <row r="449" ht="12.0" customHeight="1">
      <c r="C449" s="393"/>
    </row>
    <row r="450" ht="12.0" customHeight="1">
      <c r="C450" s="393"/>
    </row>
    <row r="451" ht="12.0" customHeight="1">
      <c r="C451" s="393"/>
    </row>
    <row r="452" ht="12.0" customHeight="1">
      <c r="C452" s="393"/>
    </row>
    <row r="453" ht="12.0" customHeight="1">
      <c r="C453" s="393"/>
    </row>
    <row r="454" ht="12.0" customHeight="1">
      <c r="C454" s="393"/>
    </row>
    <row r="455" ht="12.0" customHeight="1">
      <c r="C455" s="393"/>
    </row>
    <row r="456" ht="12.0" customHeight="1">
      <c r="C456" s="393"/>
    </row>
    <row r="457" ht="12.0" customHeight="1">
      <c r="C457" s="393"/>
    </row>
    <row r="458" ht="12.0" customHeight="1">
      <c r="C458" s="393"/>
    </row>
    <row r="459" ht="12.0" customHeight="1">
      <c r="C459" s="393"/>
    </row>
    <row r="460" ht="12.0" customHeight="1">
      <c r="C460" s="393"/>
    </row>
    <row r="461" ht="12.0" customHeight="1">
      <c r="C461" s="393"/>
    </row>
    <row r="462" ht="12.0" customHeight="1">
      <c r="C462" s="393"/>
    </row>
    <row r="463" ht="12.0" customHeight="1">
      <c r="C463" s="393"/>
    </row>
    <row r="464" ht="12.0" customHeight="1">
      <c r="C464" s="393"/>
    </row>
    <row r="465" ht="12.0" customHeight="1">
      <c r="C465" s="393"/>
    </row>
    <row r="466" ht="12.0" customHeight="1">
      <c r="C466" s="393"/>
    </row>
    <row r="467" ht="12.0" customHeight="1">
      <c r="C467" s="393"/>
    </row>
    <row r="468" ht="12.0" customHeight="1">
      <c r="C468" s="393"/>
    </row>
    <row r="469" ht="12.0" customHeight="1">
      <c r="C469" s="393"/>
    </row>
    <row r="470" ht="12.0" customHeight="1">
      <c r="C470" s="393"/>
    </row>
    <row r="471" ht="12.0" customHeight="1">
      <c r="C471" s="393"/>
    </row>
    <row r="472" ht="12.0" customHeight="1">
      <c r="C472" s="393"/>
    </row>
    <row r="473" ht="12.0" customHeight="1">
      <c r="C473" s="393"/>
    </row>
    <row r="474" ht="12.0" customHeight="1">
      <c r="C474" s="393"/>
    </row>
    <row r="475" ht="12.0" customHeight="1">
      <c r="C475" s="393"/>
    </row>
    <row r="476" ht="12.0" customHeight="1">
      <c r="C476" s="393"/>
    </row>
    <row r="477" ht="12.0" customHeight="1">
      <c r="C477" s="393"/>
    </row>
    <row r="478" ht="12.0" customHeight="1">
      <c r="C478" s="393"/>
    </row>
    <row r="479" ht="12.0" customHeight="1">
      <c r="C479" s="393"/>
    </row>
    <row r="480" ht="12.0" customHeight="1">
      <c r="C480" s="393"/>
    </row>
    <row r="481" ht="12.0" customHeight="1">
      <c r="C481" s="393"/>
    </row>
    <row r="482" ht="12.0" customHeight="1">
      <c r="C482" s="393"/>
    </row>
    <row r="483" ht="12.0" customHeight="1">
      <c r="C483" s="393"/>
    </row>
    <row r="484" ht="12.0" customHeight="1">
      <c r="C484" s="393"/>
    </row>
    <row r="485" ht="12.0" customHeight="1">
      <c r="C485" s="393"/>
    </row>
    <row r="486" ht="12.0" customHeight="1">
      <c r="C486" s="393"/>
    </row>
    <row r="487" ht="12.0" customHeight="1">
      <c r="C487" s="393"/>
    </row>
    <row r="488" ht="12.0" customHeight="1">
      <c r="C488" s="393"/>
    </row>
    <row r="489" ht="12.0" customHeight="1">
      <c r="C489" s="393"/>
    </row>
    <row r="490" ht="12.0" customHeight="1">
      <c r="C490" s="393"/>
    </row>
    <row r="491" ht="12.0" customHeight="1">
      <c r="C491" s="393"/>
    </row>
    <row r="492" ht="12.0" customHeight="1">
      <c r="C492" s="393"/>
    </row>
    <row r="493" ht="12.0" customHeight="1">
      <c r="C493" s="393"/>
    </row>
    <row r="494" ht="12.0" customHeight="1">
      <c r="C494" s="393"/>
    </row>
    <row r="495" ht="12.0" customHeight="1">
      <c r="C495" s="393"/>
    </row>
    <row r="496" ht="12.0" customHeight="1">
      <c r="C496" s="393"/>
    </row>
    <row r="497" ht="12.0" customHeight="1">
      <c r="C497" s="393"/>
    </row>
    <row r="498" ht="12.0" customHeight="1">
      <c r="C498" s="393"/>
    </row>
    <row r="499" ht="12.0" customHeight="1">
      <c r="C499" s="393"/>
    </row>
    <row r="500" ht="12.0" customHeight="1">
      <c r="C500" s="393"/>
    </row>
    <row r="501" ht="12.0" customHeight="1">
      <c r="C501" s="393"/>
    </row>
    <row r="502" ht="12.0" customHeight="1">
      <c r="C502" s="393"/>
    </row>
    <row r="503" ht="12.0" customHeight="1">
      <c r="C503" s="393"/>
    </row>
    <row r="504" ht="12.0" customHeight="1">
      <c r="C504" s="393"/>
    </row>
    <row r="505" ht="12.0" customHeight="1">
      <c r="C505" s="393"/>
    </row>
    <row r="506" ht="12.0" customHeight="1">
      <c r="C506" s="393"/>
    </row>
    <row r="507" ht="12.0" customHeight="1">
      <c r="C507" s="393"/>
    </row>
    <row r="508" ht="12.0" customHeight="1">
      <c r="C508" s="393"/>
    </row>
    <row r="509" ht="12.0" customHeight="1">
      <c r="C509" s="393"/>
    </row>
    <row r="510" ht="12.0" customHeight="1">
      <c r="C510" s="393"/>
    </row>
    <row r="511" ht="12.0" customHeight="1">
      <c r="C511" s="393"/>
    </row>
    <row r="512" ht="12.0" customHeight="1">
      <c r="C512" s="393"/>
    </row>
    <row r="513" ht="12.0" customHeight="1">
      <c r="C513" s="393"/>
    </row>
    <row r="514" ht="12.0" customHeight="1">
      <c r="C514" s="393"/>
    </row>
    <row r="515" ht="12.0" customHeight="1">
      <c r="C515" s="393"/>
    </row>
    <row r="516" ht="12.0" customHeight="1">
      <c r="C516" s="393"/>
    </row>
    <row r="517" ht="12.0" customHeight="1">
      <c r="C517" s="393"/>
    </row>
    <row r="518" ht="12.0" customHeight="1">
      <c r="C518" s="393"/>
    </row>
    <row r="519" ht="12.0" customHeight="1">
      <c r="C519" s="393"/>
    </row>
    <row r="520" ht="12.0" customHeight="1">
      <c r="C520" s="393"/>
    </row>
    <row r="521" ht="12.0" customHeight="1">
      <c r="C521" s="393"/>
    </row>
    <row r="522" ht="12.0" customHeight="1">
      <c r="C522" s="393"/>
    </row>
    <row r="523" ht="12.0" customHeight="1">
      <c r="C523" s="393"/>
    </row>
    <row r="524" ht="12.0" customHeight="1">
      <c r="C524" s="393"/>
    </row>
    <row r="525" ht="12.0" customHeight="1">
      <c r="C525" s="393"/>
    </row>
    <row r="526" ht="12.0" customHeight="1">
      <c r="C526" s="393"/>
    </row>
    <row r="527" ht="12.0" customHeight="1">
      <c r="C527" s="393"/>
    </row>
    <row r="528" ht="12.0" customHeight="1">
      <c r="C528" s="393"/>
    </row>
    <row r="529" ht="12.0" customHeight="1">
      <c r="C529" s="393"/>
    </row>
    <row r="530" ht="12.0" customHeight="1">
      <c r="C530" s="393"/>
    </row>
    <row r="531" ht="12.0" customHeight="1">
      <c r="C531" s="393"/>
    </row>
    <row r="532" ht="12.0" customHeight="1">
      <c r="C532" s="393"/>
    </row>
    <row r="533" ht="12.0" customHeight="1">
      <c r="C533" s="393"/>
    </row>
    <row r="534" ht="12.0" customHeight="1">
      <c r="C534" s="393"/>
    </row>
    <row r="535" ht="12.0" customHeight="1">
      <c r="C535" s="393"/>
    </row>
    <row r="536" ht="12.0" customHeight="1">
      <c r="C536" s="393"/>
    </row>
    <row r="537" ht="12.0" customHeight="1">
      <c r="C537" s="393"/>
    </row>
    <row r="538" ht="12.0" customHeight="1">
      <c r="C538" s="393"/>
    </row>
    <row r="539" ht="12.0" customHeight="1">
      <c r="C539" s="393"/>
    </row>
    <row r="540" ht="12.0" customHeight="1">
      <c r="C540" s="393"/>
    </row>
    <row r="541" ht="12.0" customHeight="1">
      <c r="C541" s="393"/>
    </row>
    <row r="542" ht="12.0" customHeight="1">
      <c r="C542" s="393"/>
    </row>
    <row r="543" ht="12.0" customHeight="1">
      <c r="C543" s="393"/>
    </row>
    <row r="544" ht="12.0" customHeight="1">
      <c r="C544" s="393"/>
    </row>
    <row r="545" ht="12.0" customHeight="1">
      <c r="C545" s="393"/>
    </row>
    <row r="546" ht="12.0" customHeight="1">
      <c r="C546" s="393"/>
    </row>
    <row r="547" ht="12.0" customHeight="1">
      <c r="C547" s="393"/>
    </row>
    <row r="548" ht="12.0" customHeight="1">
      <c r="C548" s="393"/>
    </row>
    <row r="549" ht="12.0" customHeight="1">
      <c r="C549" s="393"/>
    </row>
    <row r="550" ht="12.0" customHeight="1">
      <c r="C550" s="393"/>
    </row>
    <row r="551" ht="12.0" customHeight="1">
      <c r="C551" s="393"/>
    </row>
    <row r="552" ht="12.0" customHeight="1">
      <c r="C552" s="393"/>
    </row>
    <row r="553" ht="12.0" customHeight="1">
      <c r="C553" s="393"/>
    </row>
    <row r="554" ht="12.0" customHeight="1">
      <c r="C554" s="393"/>
    </row>
    <row r="555" ht="12.0" customHeight="1">
      <c r="C555" s="393"/>
    </row>
    <row r="556" ht="12.0" customHeight="1">
      <c r="C556" s="393"/>
    </row>
    <row r="557" ht="12.0" customHeight="1">
      <c r="C557" s="393"/>
    </row>
    <row r="558" ht="12.0" customHeight="1">
      <c r="C558" s="393"/>
    </row>
    <row r="559" ht="12.0" customHeight="1">
      <c r="C559" s="393"/>
    </row>
    <row r="560" ht="12.0" customHeight="1">
      <c r="C560" s="393"/>
    </row>
    <row r="561" ht="12.0" customHeight="1">
      <c r="C561" s="393"/>
    </row>
    <row r="562" ht="12.0" customHeight="1">
      <c r="C562" s="393"/>
    </row>
    <row r="563" ht="12.0" customHeight="1">
      <c r="C563" s="393"/>
    </row>
    <row r="564" ht="12.0" customHeight="1">
      <c r="C564" s="393"/>
    </row>
    <row r="565" ht="12.0" customHeight="1">
      <c r="C565" s="393"/>
    </row>
    <row r="566" ht="12.0" customHeight="1">
      <c r="C566" s="393"/>
    </row>
    <row r="567" ht="12.0" customHeight="1">
      <c r="C567" s="393"/>
    </row>
    <row r="568" ht="12.0" customHeight="1">
      <c r="C568" s="393"/>
    </row>
    <row r="569" ht="12.0" customHeight="1">
      <c r="C569" s="393"/>
    </row>
    <row r="570" ht="12.0" customHeight="1">
      <c r="C570" s="393"/>
    </row>
    <row r="571" ht="12.0" customHeight="1">
      <c r="C571" s="393"/>
    </row>
    <row r="572" ht="12.0" customHeight="1">
      <c r="C572" s="393"/>
    </row>
    <row r="573" ht="12.0" customHeight="1">
      <c r="C573" s="393"/>
    </row>
    <row r="574" ht="12.0" customHeight="1">
      <c r="C574" s="393"/>
    </row>
    <row r="575" ht="12.0" customHeight="1">
      <c r="C575" s="393"/>
    </row>
    <row r="576" ht="12.0" customHeight="1">
      <c r="C576" s="393"/>
    </row>
    <row r="577" ht="12.0" customHeight="1">
      <c r="C577" s="393"/>
    </row>
    <row r="578" ht="12.0" customHeight="1">
      <c r="C578" s="393"/>
    </row>
    <row r="579" ht="12.0" customHeight="1">
      <c r="C579" s="393"/>
    </row>
    <row r="580" ht="12.0" customHeight="1">
      <c r="C580" s="393"/>
    </row>
    <row r="581" ht="12.0" customHeight="1">
      <c r="C581" s="393"/>
    </row>
    <row r="582" ht="12.0" customHeight="1">
      <c r="C582" s="393"/>
    </row>
    <row r="583" ht="12.0" customHeight="1">
      <c r="C583" s="393"/>
    </row>
    <row r="584" ht="12.0" customHeight="1">
      <c r="C584" s="393"/>
    </row>
    <row r="585" ht="12.0" customHeight="1">
      <c r="C585" s="393"/>
    </row>
    <row r="586" ht="12.0" customHeight="1">
      <c r="C586" s="393"/>
    </row>
    <row r="587" ht="12.0" customHeight="1">
      <c r="C587" s="393"/>
    </row>
    <row r="588" ht="12.0" customHeight="1">
      <c r="C588" s="393"/>
    </row>
    <row r="589" ht="12.0" customHeight="1">
      <c r="C589" s="393"/>
    </row>
    <row r="590" ht="12.0" customHeight="1">
      <c r="C590" s="393"/>
    </row>
    <row r="591" ht="12.0" customHeight="1">
      <c r="C591" s="393"/>
    </row>
    <row r="592" ht="12.0" customHeight="1">
      <c r="C592" s="393"/>
    </row>
    <row r="593" ht="12.0" customHeight="1">
      <c r="C593" s="393"/>
    </row>
    <row r="594" ht="12.0" customHeight="1">
      <c r="C594" s="393"/>
    </row>
    <row r="595" ht="12.0" customHeight="1">
      <c r="C595" s="393"/>
    </row>
    <row r="596" ht="12.0" customHeight="1">
      <c r="C596" s="393"/>
    </row>
    <row r="597" ht="12.0" customHeight="1">
      <c r="C597" s="393"/>
    </row>
    <row r="598" ht="12.0" customHeight="1">
      <c r="C598" s="393"/>
    </row>
    <row r="599" ht="12.0" customHeight="1">
      <c r="C599" s="393"/>
    </row>
    <row r="600" ht="12.0" customHeight="1">
      <c r="C600" s="393"/>
    </row>
    <row r="601" ht="12.0" customHeight="1">
      <c r="C601" s="393"/>
    </row>
    <row r="602" ht="12.0" customHeight="1">
      <c r="C602" s="393"/>
    </row>
    <row r="603" ht="12.0" customHeight="1">
      <c r="C603" s="393"/>
    </row>
    <row r="604" ht="12.0" customHeight="1">
      <c r="C604" s="393"/>
    </row>
    <row r="605" ht="12.0" customHeight="1">
      <c r="C605" s="393"/>
    </row>
    <row r="606" ht="12.0" customHeight="1">
      <c r="C606" s="393"/>
    </row>
    <row r="607" ht="12.0" customHeight="1">
      <c r="C607" s="393"/>
    </row>
    <row r="608" ht="12.0" customHeight="1">
      <c r="C608" s="393"/>
    </row>
    <row r="609" ht="12.0" customHeight="1">
      <c r="C609" s="393"/>
    </row>
    <row r="610" ht="12.0" customHeight="1">
      <c r="C610" s="393"/>
    </row>
    <row r="611" ht="12.0" customHeight="1">
      <c r="C611" s="393"/>
    </row>
    <row r="612" ht="12.0" customHeight="1">
      <c r="C612" s="393"/>
    </row>
    <row r="613" ht="12.0" customHeight="1">
      <c r="C613" s="393"/>
    </row>
    <row r="614" ht="12.0" customHeight="1">
      <c r="C614" s="393"/>
    </row>
    <row r="615" ht="12.0" customHeight="1">
      <c r="C615" s="393"/>
    </row>
    <row r="616" ht="12.0" customHeight="1">
      <c r="C616" s="393"/>
    </row>
    <row r="617" ht="12.0" customHeight="1">
      <c r="C617" s="393"/>
    </row>
    <row r="618" ht="12.0" customHeight="1">
      <c r="C618" s="393"/>
    </row>
    <row r="619" ht="12.0" customHeight="1">
      <c r="C619" s="393"/>
    </row>
    <row r="620" ht="12.0" customHeight="1">
      <c r="C620" s="393"/>
    </row>
    <row r="621" ht="12.0" customHeight="1">
      <c r="C621" s="393"/>
    </row>
    <row r="622" ht="12.0" customHeight="1">
      <c r="C622" s="393"/>
    </row>
    <row r="623" ht="12.0" customHeight="1">
      <c r="C623" s="393"/>
    </row>
    <row r="624" ht="12.0" customHeight="1">
      <c r="C624" s="393"/>
    </row>
    <row r="625" ht="12.0" customHeight="1">
      <c r="C625" s="393"/>
    </row>
    <row r="626" ht="12.0" customHeight="1">
      <c r="C626" s="393"/>
    </row>
    <row r="627" ht="12.0" customHeight="1">
      <c r="C627" s="393"/>
    </row>
    <row r="628" ht="12.0" customHeight="1">
      <c r="C628" s="393"/>
    </row>
    <row r="629" ht="12.0" customHeight="1">
      <c r="C629" s="393"/>
    </row>
    <row r="630" ht="12.0" customHeight="1">
      <c r="C630" s="393"/>
    </row>
    <row r="631" ht="12.0" customHeight="1">
      <c r="C631" s="393"/>
    </row>
    <row r="632" ht="12.0" customHeight="1">
      <c r="C632" s="393"/>
    </row>
    <row r="633" ht="12.0" customHeight="1">
      <c r="C633" s="393"/>
    </row>
    <row r="634" ht="12.0" customHeight="1">
      <c r="C634" s="393"/>
    </row>
    <row r="635" ht="12.0" customHeight="1">
      <c r="C635" s="393"/>
    </row>
    <row r="636" ht="12.0" customHeight="1">
      <c r="C636" s="393"/>
    </row>
    <row r="637" ht="12.0" customHeight="1">
      <c r="C637" s="393"/>
    </row>
    <row r="638" ht="12.0" customHeight="1">
      <c r="C638" s="393"/>
    </row>
    <row r="639" ht="12.0" customHeight="1">
      <c r="C639" s="393"/>
    </row>
    <row r="640" ht="12.0" customHeight="1">
      <c r="C640" s="393"/>
    </row>
    <row r="641" ht="12.0" customHeight="1">
      <c r="C641" s="393"/>
    </row>
    <row r="642" ht="12.0" customHeight="1">
      <c r="C642" s="393"/>
    </row>
    <row r="643" ht="12.0" customHeight="1">
      <c r="C643" s="393"/>
    </row>
    <row r="644" ht="12.0" customHeight="1">
      <c r="C644" s="393"/>
    </row>
    <row r="645" ht="12.0" customHeight="1">
      <c r="C645" s="393"/>
    </row>
    <row r="646" ht="12.0" customHeight="1">
      <c r="C646" s="393"/>
    </row>
    <row r="647" ht="12.0" customHeight="1">
      <c r="C647" s="393"/>
    </row>
    <row r="648" ht="12.0" customHeight="1">
      <c r="C648" s="393"/>
    </row>
    <row r="649" ht="12.0" customHeight="1">
      <c r="C649" s="393"/>
    </row>
    <row r="650" ht="12.0" customHeight="1">
      <c r="C650" s="393"/>
    </row>
    <row r="651" ht="12.0" customHeight="1">
      <c r="C651" s="393"/>
    </row>
    <row r="652" ht="12.0" customHeight="1">
      <c r="C652" s="393"/>
    </row>
    <row r="653" ht="12.0" customHeight="1">
      <c r="C653" s="393"/>
    </row>
    <row r="654" ht="12.0" customHeight="1">
      <c r="C654" s="393"/>
    </row>
    <row r="655" ht="12.0" customHeight="1">
      <c r="C655" s="393"/>
    </row>
    <row r="656" ht="12.0" customHeight="1">
      <c r="C656" s="393"/>
    </row>
    <row r="657" ht="12.0" customHeight="1">
      <c r="C657" s="393"/>
    </row>
    <row r="658" ht="12.0" customHeight="1">
      <c r="C658" s="393"/>
    </row>
    <row r="659" ht="12.0" customHeight="1">
      <c r="C659" s="393"/>
    </row>
    <row r="660" ht="12.0" customHeight="1">
      <c r="C660" s="393"/>
    </row>
    <row r="661" ht="12.0" customHeight="1">
      <c r="C661" s="393"/>
    </row>
    <row r="662" ht="12.0" customHeight="1">
      <c r="C662" s="393"/>
    </row>
    <row r="663" ht="12.0" customHeight="1">
      <c r="C663" s="393"/>
    </row>
    <row r="664" ht="12.0" customHeight="1">
      <c r="C664" s="393"/>
    </row>
    <row r="665" ht="12.0" customHeight="1">
      <c r="C665" s="393"/>
    </row>
    <row r="666" ht="12.0" customHeight="1">
      <c r="C666" s="393"/>
    </row>
    <row r="667" ht="12.0" customHeight="1">
      <c r="C667" s="393"/>
    </row>
    <row r="668" ht="12.0" customHeight="1">
      <c r="C668" s="393"/>
    </row>
    <row r="669" ht="12.0" customHeight="1">
      <c r="C669" s="393"/>
    </row>
    <row r="670" ht="12.0" customHeight="1">
      <c r="C670" s="393"/>
    </row>
    <row r="671" ht="12.0" customHeight="1">
      <c r="C671" s="393"/>
    </row>
    <row r="672" ht="12.0" customHeight="1">
      <c r="C672" s="393"/>
    </row>
    <row r="673" ht="12.0" customHeight="1">
      <c r="C673" s="393"/>
    </row>
    <row r="674" ht="12.0" customHeight="1">
      <c r="C674" s="393"/>
    </row>
    <row r="675" ht="12.0" customHeight="1">
      <c r="C675" s="393"/>
    </row>
    <row r="676" ht="12.0" customHeight="1">
      <c r="C676" s="393"/>
    </row>
    <row r="677" ht="12.0" customHeight="1">
      <c r="C677" s="393"/>
    </row>
    <row r="678" ht="12.0" customHeight="1">
      <c r="C678" s="393"/>
    </row>
    <row r="679" ht="12.0" customHeight="1">
      <c r="C679" s="393"/>
    </row>
    <row r="680" ht="12.0" customHeight="1">
      <c r="C680" s="393"/>
    </row>
    <row r="681" ht="12.0" customHeight="1">
      <c r="C681" s="393"/>
    </row>
    <row r="682" ht="12.0" customHeight="1">
      <c r="C682" s="393"/>
    </row>
    <row r="683" ht="12.0" customHeight="1">
      <c r="C683" s="393"/>
    </row>
    <row r="684" ht="12.0" customHeight="1">
      <c r="C684" s="393"/>
    </row>
    <row r="685" ht="12.0" customHeight="1">
      <c r="C685" s="393"/>
    </row>
    <row r="686" ht="12.0" customHeight="1">
      <c r="C686" s="393"/>
    </row>
    <row r="687" ht="12.0" customHeight="1">
      <c r="C687" s="393"/>
    </row>
    <row r="688" ht="12.0" customHeight="1">
      <c r="C688" s="393"/>
    </row>
    <row r="689" ht="12.0" customHeight="1">
      <c r="C689" s="393"/>
    </row>
    <row r="690" ht="12.0" customHeight="1">
      <c r="C690" s="393"/>
    </row>
    <row r="691" ht="12.0" customHeight="1">
      <c r="C691" s="393"/>
    </row>
    <row r="692" ht="12.0" customHeight="1">
      <c r="C692" s="393"/>
    </row>
    <row r="693" ht="12.0" customHeight="1">
      <c r="C693" s="393"/>
    </row>
    <row r="694" ht="12.0" customHeight="1">
      <c r="C694" s="393"/>
    </row>
    <row r="695" ht="12.0" customHeight="1">
      <c r="C695" s="393"/>
    </row>
    <row r="696" ht="12.0" customHeight="1">
      <c r="C696" s="393"/>
    </row>
    <row r="697" ht="12.0" customHeight="1">
      <c r="C697" s="393"/>
    </row>
    <row r="698" ht="12.0" customHeight="1">
      <c r="C698" s="393"/>
    </row>
    <row r="699" ht="12.0" customHeight="1">
      <c r="C699" s="393"/>
    </row>
    <row r="700" ht="12.0" customHeight="1">
      <c r="C700" s="393"/>
    </row>
    <row r="701" ht="12.0" customHeight="1">
      <c r="C701" s="393"/>
    </row>
    <row r="702" ht="12.0" customHeight="1">
      <c r="C702" s="393"/>
    </row>
    <row r="703" ht="12.0" customHeight="1">
      <c r="C703" s="393"/>
    </row>
    <row r="704" ht="12.0" customHeight="1">
      <c r="C704" s="393"/>
    </row>
    <row r="705" ht="12.0" customHeight="1">
      <c r="C705" s="393"/>
    </row>
    <row r="706" ht="12.0" customHeight="1">
      <c r="C706" s="393"/>
    </row>
    <row r="707" ht="12.0" customHeight="1">
      <c r="C707" s="393"/>
    </row>
    <row r="708" ht="12.0" customHeight="1">
      <c r="C708" s="393"/>
    </row>
    <row r="709" ht="12.0" customHeight="1">
      <c r="C709" s="393"/>
    </row>
    <row r="710" ht="12.0" customHeight="1">
      <c r="C710" s="393"/>
    </row>
    <row r="711" ht="12.0" customHeight="1">
      <c r="C711" s="393"/>
    </row>
    <row r="712" ht="12.0" customHeight="1">
      <c r="C712" s="393"/>
    </row>
    <row r="713" ht="12.0" customHeight="1">
      <c r="C713" s="393"/>
    </row>
    <row r="714" ht="12.0" customHeight="1">
      <c r="C714" s="393"/>
    </row>
    <row r="715" ht="12.0" customHeight="1">
      <c r="C715" s="393"/>
    </row>
    <row r="716" ht="12.0" customHeight="1">
      <c r="C716" s="393"/>
    </row>
    <row r="717" ht="12.0" customHeight="1">
      <c r="C717" s="393"/>
    </row>
    <row r="718" ht="12.0" customHeight="1">
      <c r="C718" s="393"/>
    </row>
    <row r="719" ht="12.0" customHeight="1">
      <c r="C719" s="393"/>
    </row>
    <row r="720" ht="12.0" customHeight="1">
      <c r="C720" s="393"/>
    </row>
    <row r="721" ht="12.0" customHeight="1">
      <c r="C721" s="393"/>
    </row>
    <row r="722" ht="12.0" customHeight="1">
      <c r="C722" s="393"/>
    </row>
    <row r="723" ht="12.0" customHeight="1">
      <c r="C723" s="393"/>
    </row>
    <row r="724" ht="12.0" customHeight="1">
      <c r="C724" s="393"/>
    </row>
    <row r="725" ht="12.0" customHeight="1">
      <c r="C725" s="393"/>
    </row>
    <row r="726" ht="12.0" customHeight="1">
      <c r="C726" s="393"/>
    </row>
    <row r="727" ht="12.0" customHeight="1">
      <c r="C727" s="393"/>
    </row>
    <row r="728" ht="12.0" customHeight="1">
      <c r="C728" s="393"/>
    </row>
    <row r="729" ht="12.0" customHeight="1">
      <c r="C729" s="393"/>
    </row>
    <row r="730" ht="12.0" customHeight="1">
      <c r="C730" s="393"/>
    </row>
    <row r="731" ht="12.0" customHeight="1">
      <c r="C731" s="393"/>
    </row>
    <row r="732" ht="12.0" customHeight="1">
      <c r="C732" s="393"/>
    </row>
    <row r="733" ht="12.0" customHeight="1">
      <c r="C733" s="393"/>
    </row>
    <row r="734" ht="12.0" customHeight="1">
      <c r="C734" s="393"/>
    </row>
    <row r="735" ht="12.0" customHeight="1">
      <c r="C735" s="393"/>
    </row>
    <row r="736" ht="12.0" customHeight="1">
      <c r="C736" s="393"/>
    </row>
    <row r="737" ht="12.0" customHeight="1">
      <c r="C737" s="393"/>
    </row>
    <row r="738" ht="12.0" customHeight="1">
      <c r="C738" s="393"/>
    </row>
    <row r="739" ht="12.0" customHeight="1">
      <c r="C739" s="393"/>
    </row>
    <row r="740" ht="12.0" customHeight="1">
      <c r="C740" s="393"/>
    </row>
    <row r="741" ht="12.0" customHeight="1">
      <c r="C741" s="393"/>
    </row>
    <row r="742" ht="12.0" customHeight="1">
      <c r="C742" s="393"/>
    </row>
    <row r="743" ht="12.0" customHeight="1">
      <c r="C743" s="393"/>
    </row>
    <row r="744" ht="12.0" customHeight="1">
      <c r="C744" s="393"/>
    </row>
    <row r="745" ht="12.0" customHeight="1">
      <c r="C745" s="393"/>
    </row>
    <row r="746" ht="12.0" customHeight="1">
      <c r="C746" s="393"/>
    </row>
    <row r="747" ht="12.0" customHeight="1">
      <c r="C747" s="393"/>
    </row>
    <row r="748" ht="12.0" customHeight="1">
      <c r="C748" s="393"/>
    </row>
    <row r="749" ht="12.0" customHeight="1">
      <c r="C749" s="393"/>
    </row>
    <row r="750" ht="12.0" customHeight="1">
      <c r="C750" s="393"/>
    </row>
    <row r="751" ht="12.0" customHeight="1">
      <c r="C751" s="393"/>
    </row>
    <row r="752" ht="12.0" customHeight="1">
      <c r="C752" s="393"/>
    </row>
    <row r="753" ht="12.0" customHeight="1">
      <c r="C753" s="393"/>
    </row>
    <row r="754" ht="12.0" customHeight="1">
      <c r="C754" s="393"/>
    </row>
    <row r="755" ht="12.0" customHeight="1">
      <c r="C755" s="393"/>
    </row>
    <row r="756" ht="12.0" customHeight="1">
      <c r="C756" s="393"/>
    </row>
    <row r="757" ht="12.0" customHeight="1">
      <c r="C757" s="393"/>
    </row>
    <row r="758" ht="12.0" customHeight="1">
      <c r="C758" s="393"/>
    </row>
    <row r="759" ht="12.0" customHeight="1">
      <c r="C759" s="393"/>
    </row>
    <row r="760" ht="12.0" customHeight="1">
      <c r="C760" s="393"/>
    </row>
    <row r="761" ht="12.0" customHeight="1">
      <c r="C761" s="393"/>
    </row>
    <row r="762" ht="12.0" customHeight="1">
      <c r="C762" s="393"/>
    </row>
    <row r="763" ht="12.0" customHeight="1">
      <c r="C763" s="393"/>
    </row>
    <row r="764" ht="12.0" customHeight="1">
      <c r="C764" s="393"/>
    </row>
    <row r="765" ht="12.0" customHeight="1">
      <c r="C765" s="393"/>
    </row>
    <row r="766" ht="12.0" customHeight="1">
      <c r="C766" s="393"/>
    </row>
    <row r="767" ht="12.0" customHeight="1">
      <c r="C767" s="393"/>
    </row>
    <row r="768" ht="12.0" customHeight="1">
      <c r="C768" s="393"/>
    </row>
    <row r="769" ht="12.0" customHeight="1">
      <c r="C769" s="393"/>
    </row>
    <row r="770" ht="12.0" customHeight="1">
      <c r="C770" s="393"/>
    </row>
    <row r="771" ht="12.0" customHeight="1">
      <c r="C771" s="393"/>
    </row>
    <row r="772" ht="12.0" customHeight="1">
      <c r="C772" s="393"/>
    </row>
    <row r="773" ht="12.0" customHeight="1">
      <c r="C773" s="393"/>
    </row>
    <row r="774" ht="12.0" customHeight="1">
      <c r="C774" s="393"/>
    </row>
    <row r="775" ht="12.0" customHeight="1">
      <c r="C775" s="393"/>
    </row>
    <row r="776" ht="12.0" customHeight="1">
      <c r="C776" s="393"/>
    </row>
    <row r="777" ht="12.0" customHeight="1">
      <c r="C777" s="393"/>
    </row>
    <row r="778" ht="12.0" customHeight="1">
      <c r="C778" s="393"/>
    </row>
    <row r="779" ht="12.0" customHeight="1">
      <c r="C779" s="393"/>
    </row>
    <row r="780" ht="12.0" customHeight="1">
      <c r="C780" s="393"/>
    </row>
    <row r="781" ht="12.0" customHeight="1">
      <c r="C781" s="393"/>
    </row>
    <row r="782" ht="12.0" customHeight="1">
      <c r="C782" s="393"/>
    </row>
    <row r="783" ht="12.0" customHeight="1">
      <c r="C783" s="393"/>
    </row>
    <row r="784" ht="12.0" customHeight="1">
      <c r="C784" s="393"/>
    </row>
    <row r="785" ht="12.0" customHeight="1">
      <c r="C785" s="393"/>
    </row>
    <row r="786" ht="12.0" customHeight="1">
      <c r="C786" s="393"/>
    </row>
    <row r="787" ht="12.0" customHeight="1">
      <c r="C787" s="393"/>
    </row>
    <row r="788" ht="12.0" customHeight="1">
      <c r="C788" s="393"/>
    </row>
    <row r="789" ht="12.0" customHeight="1">
      <c r="C789" s="393"/>
    </row>
    <row r="790" ht="12.0" customHeight="1">
      <c r="C790" s="393"/>
    </row>
    <row r="791" ht="12.0" customHeight="1">
      <c r="C791" s="393"/>
    </row>
    <row r="792" ht="12.0" customHeight="1">
      <c r="C792" s="393"/>
    </row>
    <row r="793" ht="12.0" customHeight="1">
      <c r="C793" s="393"/>
    </row>
    <row r="794" ht="12.0" customHeight="1">
      <c r="C794" s="393"/>
    </row>
    <row r="795" ht="12.0" customHeight="1">
      <c r="C795" s="393"/>
    </row>
    <row r="796" ht="12.0" customHeight="1">
      <c r="C796" s="393"/>
    </row>
    <row r="797" ht="12.0" customHeight="1">
      <c r="C797" s="393"/>
    </row>
    <row r="798" ht="12.0" customHeight="1">
      <c r="C798" s="393"/>
    </row>
    <row r="799" ht="12.0" customHeight="1">
      <c r="C799" s="393"/>
    </row>
    <row r="800" ht="12.0" customHeight="1">
      <c r="C800" s="393"/>
    </row>
    <row r="801" ht="12.0" customHeight="1">
      <c r="C801" s="393"/>
    </row>
    <row r="802" ht="12.0" customHeight="1">
      <c r="C802" s="393"/>
    </row>
    <row r="803" ht="12.0" customHeight="1">
      <c r="C803" s="393"/>
    </row>
    <row r="804" ht="12.0" customHeight="1">
      <c r="C804" s="393"/>
    </row>
    <row r="805" ht="12.0" customHeight="1">
      <c r="C805" s="393"/>
    </row>
    <row r="806" ht="12.0" customHeight="1">
      <c r="C806" s="393"/>
    </row>
    <row r="807" ht="12.0" customHeight="1">
      <c r="C807" s="393"/>
    </row>
    <row r="808" ht="12.0" customHeight="1">
      <c r="C808" s="393"/>
    </row>
    <row r="809" ht="12.0" customHeight="1">
      <c r="C809" s="393"/>
    </row>
    <row r="810" ht="12.0" customHeight="1">
      <c r="C810" s="393"/>
    </row>
    <row r="811" ht="12.0" customHeight="1">
      <c r="C811" s="393"/>
    </row>
    <row r="812" ht="12.0" customHeight="1">
      <c r="C812" s="393"/>
    </row>
    <row r="813" ht="12.0" customHeight="1">
      <c r="C813" s="393"/>
    </row>
    <row r="814" ht="12.0" customHeight="1">
      <c r="C814" s="393"/>
    </row>
    <row r="815" ht="12.0" customHeight="1">
      <c r="C815" s="393"/>
    </row>
    <row r="816" ht="12.0" customHeight="1">
      <c r="C816" s="393"/>
    </row>
    <row r="817" ht="12.0" customHeight="1">
      <c r="C817" s="393"/>
    </row>
    <row r="818" ht="12.0" customHeight="1">
      <c r="C818" s="393"/>
    </row>
    <row r="819" ht="12.0" customHeight="1">
      <c r="C819" s="393"/>
    </row>
    <row r="820" ht="12.0" customHeight="1">
      <c r="C820" s="393"/>
    </row>
    <row r="821" ht="12.0" customHeight="1">
      <c r="C821" s="393"/>
    </row>
    <row r="822" ht="12.0" customHeight="1">
      <c r="C822" s="393"/>
    </row>
    <row r="823" ht="12.0" customHeight="1">
      <c r="C823" s="393"/>
    </row>
    <row r="824" ht="12.0" customHeight="1">
      <c r="C824" s="393"/>
    </row>
    <row r="825" ht="12.0" customHeight="1">
      <c r="C825" s="393"/>
    </row>
    <row r="826" ht="12.0" customHeight="1">
      <c r="C826" s="393"/>
    </row>
    <row r="827" ht="12.0" customHeight="1">
      <c r="C827" s="393"/>
    </row>
    <row r="828" ht="12.0" customHeight="1">
      <c r="C828" s="393"/>
    </row>
    <row r="829" ht="12.0" customHeight="1">
      <c r="C829" s="393"/>
    </row>
    <row r="830" ht="12.0" customHeight="1">
      <c r="C830" s="393"/>
    </row>
    <row r="831" ht="12.0" customHeight="1">
      <c r="C831" s="393"/>
    </row>
    <row r="832" ht="12.0" customHeight="1">
      <c r="C832" s="393"/>
    </row>
    <row r="833" ht="12.0" customHeight="1">
      <c r="C833" s="393"/>
    </row>
    <row r="834" ht="12.0" customHeight="1">
      <c r="C834" s="393"/>
    </row>
    <row r="835" ht="12.0" customHeight="1">
      <c r="C835" s="393"/>
    </row>
    <row r="836" ht="12.0" customHeight="1">
      <c r="C836" s="393"/>
    </row>
    <row r="837" ht="12.0" customHeight="1">
      <c r="C837" s="393"/>
    </row>
    <row r="838" ht="12.0" customHeight="1">
      <c r="C838" s="393"/>
    </row>
    <row r="839" ht="12.0" customHeight="1">
      <c r="C839" s="393"/>
    </row>
    <row r="840" ht="12.0" customHeight="1">
      <c r="C840" s="393"/>
    </row>
    <row r="841" ht="12.0" customHeight="1">
      <c r="C841" s="393"/>
    </row>
    <row r="842" ht="12.0" customHeight="1">
      <c r="C842" s="393"/>
    </row>
    <row r="843" ht="12.0" customHeight="1">
      <c r="C843" s="393"/>
    </row>
    <row r="844" ht="12.0" customHeight="1">
      <c r="C844" s="393"/>
    </row>
    <row r="845" ht="12.0" customHeight="1">
      <c r="C845" s="393"/>
    </row>
    <row r="846" ht="12.0" customHeight="1">
      <c r="C846" s="393"/>
    </row>
    <row r="847" ht="12.0" customHeight="1">
      <c r="C847" s="393"/>
    </row>
    <row r="848" ht="12.0" customHeight="1">
      <c r="C848" s="393"/>
    </row>
    <row r="849" ht="12.0" customHeight="1">
      <c r="C849" s="393"/>
    </row>
    <row r="850" ht="12.0" customHeight="1">
      <c r="C850" s="393"/>
    </row>
    <row r="851" ht="12.0" customHeight="1">
      <c r="C851" s="393"/>
    </row>
    <row r="852" ht="12.0" customHeight="1">
      <c r="C852" s="393"/>
    </row>
    <row r="853" ht="12.0" customHeight="1">
      <c r="C853" s="393"/>
    </row>
    <row r="854" ht="12.0" customHeight="1">
      <c r="C854" s="393"/>
    </row>
    <row r="855" ht="12.0" customHeight="1">
      <c r="C855" s="393"/>
    </row>
    <row r="856" ht="12.0" customHeight="1">
      <c r="C856" s="393"/>
    </row>
    <row r="857" ht="12.0" customHeight="1">
      <c r="C857" s="393"/>
    </row>
    <row r="858" ht="12.0" customHeight="1">
      <c r="C858" s="393"/>
    </row>
    <row r="859" ht="12.0" customHeight="1">
      <c r="C859" s="393"/>
    </row>
    <row r="860" ht="12.0" customHeight="1">
      <c r="C860" s="393"/>
    </row>
    <row r="861" ht="12.0" customHeight="1">
      <c r="C861" s="393"/>
    </row>
    <row r="862" ht="12.0" customHeight="1">
      <c r="C862" s="393"/>
    </row>
    <row r="863" ht="12.0" customHeight="1">
      <c r="C863" s="393"/>
    </row>
    <row r="864" ht="12.0" customHeight="1">
      <c r="C864" s="393"/>
    </row>
    <row r="865" ht="12.0" customHeight="1">
      <c r="C865" s="393"/>
    </row>
    <row r="866" ht="12.0" customHeight="1">
      <c r="C866" s="393"/>
    </row>
    <row r="867" ht="12.0" customHeight="1">
      <c r="C867" s="393"/>
    </row>
    <row r="868" ht="12.0" customHeight="1">
      <c r="C868" s="393"/>
    </row>
    <row r="869" ht="12.0" customHeight="1">
      <c r="C869" s="393"/>
    </row>
    <row r="870" ht="12.0" customHeight="1">
      <c r="C870" s="393"/>
    </row>
    <row r="871" ht="12.0" customHeight="1">
      <c r="C871" s="393"/>
    </row>
    <row r="872" ht="12.0" customHeight="1">
      <c r="C872" s="393"/>
    </row>
    <row r="873" ht="12.0" customHeight="1">
      <c r="C873" s="393"/>
    </row>
    <row r="874" ht="12.0" customHeight="1">
      <c r="C874" s="393"/>
    </row>
    <row r="875" ht="12.0" customHeight="1">
      <c r="C875" s="393"/>
    </row>
    <row r="876" ht="12.0" customHeight="1">
      <c r="C876" s="393"/>
    </row>
    <row r="877" ht="12.0" customHeight="1">
      <c r="C877" s="393"/>
    </row>
    <row r="878" ht="12.0" customHeight="1">
      <c r="C878" s="393"/>
    </row>
    <row r="879" ht="12.0" customHeight="1">
      <c r="C879" s="393"/>
    </row>
    <row r="880" ht="12.0" customHeight="1">
      <c r="C880" s="393"/>
    </row>
    <row r="881" ht="12.0" customHeight="1">
      <c r="C881" s="393"/>
    </row>
    <row r="882" ht="12.0" customHeight="1">
      <c r="C882" s="393"/>
    </row>
    <row r="883" ht="12.0" customHeight="1">
      <c r="C883" s="393"/>
    </row>
    <row r="884" ht="12.0" customHeight="1">
      <c r="C884" s="393"/>
    </row>
    <row r="885" ht="12.0" customHeight="1">
      <c r="C885" s="393"/>
    </row>
    <row r="886" ht="12.0" customHeight="1">
      <c r="C886" s="393"/>
    </row>
    <row r="887" ht="12.0" customHeight="1">
      <c r="C887" s="393"/>
    </row>
    <row r="888" ht="12.0" customHeight="1">
      <c r="C888" s="393"/>
    </row>
    <row r="889" ht="12.0" customHeight="1">
      <c r="C889" s="393"/>
    </row>
    <row r="890" ht="12.0" customHeight="1">
      <c r="C890" s="393"/>
    </row>
    <row r="891" ht="12.0" customHeight="1">
      <c r="C891" s="393"/>
    </row>
    <row r="892" ht="12.0" customHeight="1">
      <c r="C892" s="393"/>
    </row>
    <row r="893" ht="12.0" customHeight="1">
      <c r="C893" s="393"/>
    </row>
    <row r="894" ht="12.0" customHeight="1">
      <c r="C894" s="393"/>
    </row>
    <row r="895" ht="12.0" customHeight="1">
      <c r="C895" s="393"/>
    </row>
    <row r="896" ht="12.0" customHeight="1">
      <c r="C896" s="393"/>
    </row>
    <row r="897" ht="12.0" customHeight="1">
      <c r="C897" s="393"/>
    </row>
    <row r="898" ht="12.0" customHeight="1">
      <c r="C898" s="393"/>
    </row>
    <row r="899" ht="12.0" customHeight="1">
      <c r="C899" s="393"/>
    </row>
    <row r="900" ht="12.0" customHeight="1">
      <c r="C900" s="393"/>
    </row>
    <row r="901" ht="12.0" customHeight="1">
      <c r="C901" s="393"/>
    </row>
    <row r="902" ht="12.0" customHeight="1">
      <c r="C902" s="393"/>
    </row>
    <row r="903" ht="12.0" customHeight="1">
      <c r="C903" s="393"/>
    </row>
    <row r="904" ht="12.0" customHeight="1">
      <c r="C904" s="393"/>
    </row>
    <row r="905" ht="12.0" customHeight="1">
      <c r="C905" s="393"/>
    </row>
    <row r="906" ht="12.0" customHeight="1">
      <c r="C906" s="393"/>
    </row>
    <row r="907" ht="12.0" customHeight="1">
      <c r="C907" s="393"/>
    </row>
    <row r="908" ht="12.0" customHeight="1">
      <c r="C908" s="393"/>
    </row>
    <row r="909" ht="12.0" customHeight="1">
      <c r="C909" s="393"/>
    </row>
    <row r="910" ht="12.0" customHeight="1">
      <c r="C910" s="393"/>
    </row>
    <row r="911" ht="12.0" customHeight="1">
      <c r="C911" s="393"/>
    </row>
    <row r="912" ht="12.0" customHeight="1">
      <c r="C912" s="393"/>
    </row>
    <row r="913" ht="12.0" customHeight="1">
      <c r="C913" s="393"/>
    </row>
    <row r="914" ht="12.0" customHeight="1">
      <c r="C914" s="393"/>
    </row>
    <row r="915" ht="12.0" customHeight="1">
      <c r="C915" s="393"/>
    </row>
    <row r="916" ht="12.0" customHeight="1">
      <c r="C916" s="393"/>
    </row>
    <row r="917" ht="12.0" customHeight="1">
      <c r="C917" s="393"/>
    </row>
    <row r="918" ht="12.0" customHeight="1">
      <c r="C918" s="393"/>
    </row>
    <row r="919" ht="12.0" customHeight="1">
      <c r="C919" s="393"/>
    </row>
    <row r="920" ht="12.0" customHeight="1">
      <c r="C920" s="393"/>
    </row>
    <row r="921" ht="12.0" customHeight="1">
      <c r="C921" s="393"/>
    </row>
    <row r="922" ht="12.0" customHeight="1">
      <c r="C922" s="393"/>
    </row>
    <row r="923" ht="12.0" customHeight="1">
      <c r="C923" s="393"/>
    </row>
    <row r="924" ht="12.0" customHeight="1">
      <c r="C924" s="393"/>
    </row>
    <row r="925" ht="12.0" customHeight="1">
      <c r="C925" s="393"/>
    </row>
    <row r="926" ht="12.0" customHeight="1">
      <c r="C926" s="393"/>
    </row>
    <row r="927" ht="12.0" customHeight="1">
      <c r="C927" s="393"/>
    </row>
    <row r="928" ht="12.0" customHeight="1">
      <c r="C928" s="393"/>
    </row>
    <row r="929" ht="12.0" customHeight="1">
      <c r="C929" s="393"/>
    </row>
    <row r="930" ht="12.0" customHeight="1">
      <c r="C930" s="393"/>
    </row>
    <row r="931" ht="12.0" customHeight="1">
      <c r="C931" s="393"/>
    </row>
    <row r="932" ht="12.0" customHeight="1">
      <c r="C932" s="393"/>
    </row>
    <row r="933" ht="12.0" customHeight="1">
      <c r="C933" s="393"/>
    </row>
    <row r="934" ht="12.0" customHeight="1">
      <c r="C934" s="393"/>
    </row>
    <row r="935" ht="12.0" customHeight="1">
      <c r="C935" s="393"/>
    </row>
    <row r="936" ht="12.0" customHeight="1">
      <c r="C936" s="393"/>
    </row>
    <row r="937" ht="12.0" customHeight="1">
      <c r="C937" s="393"/>
    </row>
    <row r="938" ht="12.0" customHeight="1">
      <c r="C938" s="393"/>
    </row>
    <row r="939" ht="12.0" customHeight="1">
      <c r="C939" s="393"/>
    </row>
    <row r="940" ht="12.0" customHeight="1">
      <c r="C940" s="393"/>
    </row>
    <row r="941" ht="12.0" customHeight="1">
      <c r="C941" s="393"/>
    </row>
    <row r="942" ht="12.0" customHeight="1">
      <c r="C942" s="393"/>
    </row>
    <row r="943" ht="12.0" customHeight="1">
      <c r="C943" s="393"/>
    </row>
    <row r="944" ht="12.0" customHeight="1">
      <c r="C944" s="393"/>
    </row>
    <row r="945" ht="12.0" customHeight="1">
      <c r="C945" s="393"/>
    </row>
    <row r="946" ht="12.0" customHeight="1">
      <c r="C946" s="393"/>
    </row>
    <row r="947" ht="12.0" customHeight="1">
      <c r="C947" s="393"/>
    </row>
    <row r="948" ht="12.0" customHeight="1">
      <c r="C948" s="393"/>
    </row>
    <row r="949" ht="12.0" customHeight="1">
      <c r="C949" s="393"/>
    </row>
    <row r="950" ht="12.0" customHeight="1">
      <c r="C950" s="393"/>
    </row>
    <row r="951" ht="12.0" customHeight="1">
      <c r="C951" s="393"/>
    </row>
    <row r="952" ht="12.0" customHeight="1">
      <c r="C952" s="393"/>
    </row>
    <row r="953" ht="12.0" customHeight="1">
      <c r="C953" s="393"/>
    </row>
    <row r="954" ht="12.0" customHeight="1">
      <c r="C954" s="393"/>
    </row>
    <row r="955" ht="12.0" customHeight="1">
      <c r="C955" s="393"/>
    </row>
    <row r="956" ht="12.0" customHeight="1">
      <c r="C956" s="393"/>
    </row>
    <row r="957" ht="12.0" customHeight="1">
      <c r="C957" s="393"/>
    </row>
    <row r="958" ht="12.0" customHeight="1">
      <c r="C958" s="393"/>
    </row>
    <row r="959" ht="12.0" customHeight="1">
      <c r="C959" s="393"/>
    </row>
    <row r="960" ht="12.0" customHeight="1">
      <c r="C960" s="393"/>
    </row>
    <row r="961" ht="12.0" customHeight="1">
      <c r="C961" s="393"/>
    </row>
    <row r="962" ht="12.0" customHeight="1">
      <c r="C962" s="393"/>
    </row>
    <row r="963" ht="12.0" customHeight="1">
      <c r="C963" s="393"/>
    </row>
    <row r="964" ht="12.0" customHeight="1">
      <c r="C964" s="393"/>
    </row>
    <row r="965" ht="12.0" customHeight="1">
      <c r="C965" s="393"/>
    </row>
    <row r="966" ht="12.0" customHeight="1">
      <c r="C966" s="393"/>
    </row>
    <row r="967" ht="12.0" customHeight="1">
      <c r="C967" s="393"/>
    </row>
    <row r="968" ht="12.0" customHeight="1">
      <c r="C968" s="393"/>
    </row>
    <row r="969" ht="12.0" customHeight="1">
      <c r="C969" s="393"/>
    </row>
    <row r="970" ht="12.0" customHeight="1">
      <c r="C970" s="393"/>
    </row>
    <row r="971" ht="12.0" customHeight="1">
      <c r="C971" s="393"/>
    </row>
    <row r="972" ht="12.0" customHeight="1">
      <c r="C972" s="393"/>
    </row>
    <row r="973" ht="12.0" customHeight="1">
      <c r="C973" s="393"/>
    </row>
    <row r="974" ht="12.0" customHeight="1">
      <c r="C974" s="393"/>
    </row>
    <row r="975" ht="12.0" customHeight="1">
      <c r="C975" s="393"/>
    </row>
    <row r="976" ht="12.0" customHeight="1">
      <c r="C976" s="393"/>
    </row>
    <row r="977" ht="12.0" customHeight="1">
      <c r="C977" s="393"/>
    </row>
    <row r="978" ht="12.0" customHeight="1">
      <c r="C978" s="393"/>
    </row>
    <row r="979" ht="12.0" customHeight="1">
      <c r="C979" s="393"/>
    </row>
    <row r="980" ht="12.0" customHeight="1">
      <c r="C980" s="393"/>
    </row>
    <row r="981" ht="12.0" customHeight="1">
      <c r="C981" s="393"/>
    </row>
    <row r="982" ht="12.0" customHeight="1">
      <c r="C982" s="393"/>
    </row>
    <row r="983" ht="12.0" customHeight="1">
      <c r="C983" s="393"/>
    </row>
    <row r="984" ht="12.0" customHeight="1">
      <c r="C984" s="393"/>
    </row>
    <row r="985" ht="12.0" customHeight="1">
      <c r="C985" s="393"/>
    </row>
    <row r="986" ht="12.0" customHeight="1">
      <c r="C986" s="393"/>
    </row>
    <row r="987" ht="12.0" customHeight="1">
      <c r="C987" s="393"/>
    </row>
    <row r="988" ht="12.0" customHeight="1">
      <c r="C988" s="393"/>
    </row>
    <row r="989" ht="12.0" customHeight="1">
      <c r="C989" s="393"/>
    </row>
    <row r="990" ht="12.0" customHeight="1">
      <c r="C990" s="393"/>
    </row>
    <row r="991" ht="12.0" customHeight="1">
      <c r="C991" s="393"/>
    </row>
    <row r="992" ht="12.0" customHeight="1">
      <c r="C992" s="393"/>
    </row>
    <row r="993" ht="12.0" customHeight="1">
      <c r="C993" s="393"/>
    </row>
    <row r="994" ht="12.0" customHeight="1">
      <c r="C994" s="393"/>
    </row>
    <row r="995" ht="12.0" customHeight="1">
      <c r="C995" s="393"/>
    </row>
    <row r="996" ht="12.0" customHeight="1">
      <c r="C996" s="393"/>
    </row>
    <row r="997" ht="12.0" customHeight="1">
      <c r="C997" s="393"/>
    </row>
    <row r="998" ht="12.0" customHeight="1">
      <c r="C998" s="393"/>
    </row>
    <row r="999" ht="12.0" customHeight="1">
      <c r="C999" s="393"/>
    </row>
    <row r="1000" ht="12.0" customHeight="1">
      <c r="C1000" s="39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281</v>
      </c>
      <c r="C1" s="33" t="s">
        <v>387</v>
      </c>
      <c r="D1" s="33" t="s">
        <v>388</v>
      </c>
      <c r="E1" s="33" t="s">
        <v>389</v>
      </c>
      <c r="F1" s="33" t="s">
        <v>390</v>
      </c>
      <c r="G1" s="33" t="s">
        <v>391</v>
      </c>
      <c r="H1" s="33" t="s">
        <v>392</v>
      </c>
      <c r="I1" s="33" t="s">
        <v>393</v>
      </c>
      <c r="J1" s="33" t="s">
        <v>394</v>
      </c>
      <c r="K1" s="33" t="s">
        <v>395</v>
      </c>
      <c r="L1" s="33" t="s">
        <v>396</v>
      </c>
      <c r="M1" s="33" t="s">
        <v>397</v>
      </c>
      <c r="N1" s="33" t="s">
        <v>398</v>
      </c>
    </row>
    <row r="2" ht="15.0" customHeight="1">
      <c r="B2" s="106" t="s">
        <v>399</v>
      </c>
      <c r="C2" s="394">
        <v>1184.0</v>
      </c>
      <c r="D2" s="394">
        <v>1105.0</v>
      </c>
      <c r="E2" s="394">
        <v>1045.0</v>
      </c>
      <c r="F2" s="394">
        <v>1166.0</v>
      </c>
      <c r="G2" s="394">
        <v>1415.0</v>
      </c>
      <c r="H2" s="394">
        <v>1802.0</v>
      </c>
      <c r="I2" s="394">
        <v>2137.0</v>
      </c>
      <c r="J2" s="394">
        <v>2115.0</v>
      </c>
      <c r="K2" s="394">
        <v>2149.0</v>
      </c>
      <c r="L2" s="394">
        <v>1699.0</v>
      </c>
      <c r="M2" s="394">
        <v>1455.0</v>
      </c>
      <c r="N2" s="394">
        <v>1084.0</v>
      </c>
    </row>
    <row r="3" ht="15.0" customHeight="1">
      <c r="B3" s="106" t="s">
        <v>401</v>
      </c>
      <c r="C3" s="394">
        <v>509.0</v>
      </c>
      <c r="D3" s="394">
        <v>594.0</v>
      </c>
      <c r="E3" s="394">
        <v>792.0</v>
      </c>
      <c r="F3" s="394">
        <v>1091.0</v>
      </c>
      <c r="G3" s="394">
        <v>1402.0</v>
      </c>
      <c r="H3" s="394">
        <v>1862.0</v>
      </c>
      <c r="I3" s="394">
        <v>2023.0</v>
      </c>
      <c r="J3" s="394">
        <v>1964.0</v>
      </c>
      <c r="K3" s="394">
        <v>1737.0</v>
      </c>
      <c r="L3" s="394">
        <v>1205.0</v>
      </c>
      <c r="M3" s="394">
        <v>863.0</v>
      </c>
      <c r="N3" s="394">
        <v>600.0</v>
      </c>
    </row>
    <row r="4" ht="15.0" customHeight="1">
      <c r="B4" s="106" t="s">
        <v>403</v>
      </c>
      <c r="C4" s="394">
        <v>819.0</v>
      </c>
      <c r="D4" s="394">
        <v>827.0</v>
      </c>
      <c r="E4" s="394">
        <v>984.0</v>
      </c>
      <c r="F4" s="394">
        <v>1201.0</v>
      </c>
      <c r="G4" s="394">
        <v>1359.0</v>
      </c>
      <c r="H4" s="394">
        <v>1828.0</v>
      </c>
      <c r="I4" s="394">
        <v>1963.0</v>
      </c>
      <c r="J4" s="394">
        <v>2018.0</v>
      </c>
      <c r="K4" s="394">
        <v>1977.0</v>
      </c>
      <c r="L4" s="394">
        <v>1521.0</v>
      </c>
      <c r="M4" s="394">
        <v>1157.0</v>
      </c>
      <c r="N4" s="394">
        <v>843.0</v>
      </c>
    </row>
    <row r="5" ht="15.0" customHeight="1">
      <c r="B5" s="106" t="s">
        <v>405</v>
      </c>
      <c r="C5" s="394">
        <v>497.0</v>
      </c>
      <c r="D5" s="394">
        <v>584.0</v>
      </c>
      <c r="E5" s="394">
        <v>714.0</v>
      </c>
      <c r="F5" s="394">
        <v>931.0</v>
      </c>
      <c r="G5" s="394">
        <v>1226.0</v>
      </c>
      <c r="H5" s="394">
        <v>1520.0</v>
      </c>
      <c r="I5" s="394">
        <v>1663.0</v>
      </c>
      <c r="J5" s="394">
        <v>1657.0</v>
      </c>
      <c r="K5" s="394">
        <v>1360.0</v>
      </c>
      <c r="L5" s="394">
        <v>1018.0</v>
      </c>
      <c r="M5" s="394">
        <v>749.0</v>
      </c>
      <c r="N5" s="394">
        <v>550.0</v>
      </c>
    </row>
    <row r="6" ht="15.0" customHeight="1">
      <c r="B6" s="106" t="s">
        <v>406</v>
      </c>
      <c r="C6" s="394">
        <v>595.0</v>
      </c>
      <c r="D6" s="394">
        <v>633.0</v>
      </c>
      <c r="E6" s="394">
        <v>736.0</v>
      </c>
      <c r="F6" s="394">
        <v>961.0</v>
      </c>
      <c r="G6" s="394">
        <v>1247.0</v>
      </c>
      <c r="H6" s="394">
        <v>1562.0</v>
      </c>
      <c r="I6" s="394">
        <v>1792.0</v>
      </c>
      <c r="J6" s="394">
        <v>1833.0</v>
      </c>
      <c r="K6" s="394">
        <v>1615.0</v>
      </c>
      <c r="L6" s="394">
        <v>1205.0</v>
      </c>
      <c r="M6" s="394">
        <v>934.0</v>
      </c>
      <c r="N6" s="394">
        <v>686.0</v>
      </c>
    </row>
    <row r="7" ht="15.0" customHeight="1">
      <c r="B7" s="106" t="s">
        <v>407</v>
      </c>
      <c r="C7" s="394">
        <v>727.0</v>
      </c>
      <c r="D7" s="394">
        <v>745.0</v>
      </c>
      <c r="E7" s="394">
        <v>853.0</v>
      </c>
      <c r="F7" s="394">
        <v>1053.0</v>
      </c>
      <c r="G7" s="394">
        <v>1341.0</v>
      </c>
      <c r="H7" s="394">
        <v>1748.0</v>
      </c>
      <c r="I7" s="394">
        <v>1963.0</v>
      </c>
      <c r="J7" s="394">
        <v>1950.0</v>
      </c>
      <c r="K7" s="394">
        <v>1775.0</v>
      </c>
      <c r="L7" s="394">
        <v>1332.0</v>
      </c>
      <c r="M7" s="394">
        <v>1042.0</v>
      </c>
      <c r="N7" s="394">
        <v>790.0</v>
      </c>
    </row>
    <row r="8" ht="15.0" customHeight="1">
      <c r="B8" s="106" t="s">
        <v>408</v>
      </c>
      <c r="C8" s="394">
        <v>744.0</v>
      </c>
      <c r="D8" s="394">
        <v>779.0</v>
      </c>
      <c r="E8" s="394">
        <v>870.0</v>
      </c>
      <c r="F8" s="394">
        <v>1106.0</v>
      </c>
      <c r="G8" s="394">
        <v>1395.0</v>
      </c>
      <c r="H8" s="394">
        <v>1831.0</v>
      </c>
      <c r="I8" s="394">
        <v>1997.0</v>
      </c>
      <c r="J8" s="394">
        <v>2015.0</v>
      </c>
      <c r="K8" s="394">
        <v>1849.0</v>
      </c>
      <c r="L8" s="394">
        <v>1385.0</v>
      </c>
      <c r="M8" s="394">
        <v>1079.0</v>
      </c>
      <c r="N8" s="394">
        <v>831.0</v>
      </c>
    </row>
    <row r="9" ht="15.0" customHeight="1">
      <c r="B9" s="106" t="s">
        <v>409</v>
      </c>
      <c r="C9" s="394">
        <v>492.0</v>
      </c>
      <c r="D9" s="394">
        <v>589.0</v>
      </c>
      <c r="E9" s="394">
        <v>781.0</v>
      </c>
      <c r="F9" s="394">
        <v>1083.0</v>
      </c>
      <c r="G9" s="394">
        <v>1382.0</v>
      </c>
      <c r="H9" s="394">
        <v>1821.0</v>
      </c>
      <c r="I9" s="394">
        <v>1980.0</v>
      </c>
      <c r="J9" s="394">
        <v>1913.0</v>
      </c>
      <c r="K9" s="394">
        <v>1643.0</v>
      </c>
      <c r="L9" s="394">
        <v>1179.0</v>
      </c>
      <c r="M9" s="394">
        <v>820.0</v>
      </c>
      <c r="N9" s="394">
        <v>572.0</v>
      </c>
    </row>
    <row r="10" ht="15.0" customHeight="1">
      <c r="B10" s="106" t="s">
        <v>410</v>
      </c>
      <c r="C10" s="394">
        <v>744.0</v>
      </c>
      <c r="D10" s="394">
        <v>774.0</v>
      </c>
      <c r="E10" s="394">
        <v>831.0</v>
      </c>
      <c r="F10" s="394">
        <v>1037.0</v>
      </c>
      <c r="G10" s="394">
        <v>1314.0</v>
      </c>
      <c r="H10" s="394">
        <v>1686.0</v>
      </c>
      <c r="I10" s="394">
        <v>1886.0</v>
      </c>
      <c r="J10" s="394">
        <v>1891.0</v>
      </c>
      <c r="K10" s="394">
        <v>1709.0</v>
      </c>
      <c r="L10" s="394">
        <v>1319.0</v>
      </c>
      <c r="M10" s="394">
        <v>1052.0</v>
      </c>
      <c r="N10" s="394">
        <v>822.0</v>
      </c>
    </row>
    <row r="11" ht="15.0" customHeight="1">
      <c r="B11" s="106" t="s">
        <v>411</v>
      </c>
      <c r="C11" s="394">
        <v>758.0</v>
      </c>
      <c r="D11" s="394">
        <v>846.0</v>
      </c>
      <c r="E11" s="394">
        <v>897.0</v>
      </c>
      <c r="F11" s="394">
        <v>1155.0</v>
      </c>
      <c r="G11" s="394">
        <v>1416.0</v>
      </c>
      <c r="H11" s="394">
        <v>1760.0</v>
      </c>
      <c r="I11" s="394">
        <v>2012.0</v>
      </c>
      <c r="J11" s="394">
        <v>1569.0</v>
      </c>
      <c r="K11" s="394">
        <v>1831.0</v>
      </c>
      <c r="L11" s="394">
        <v>1469.0</v>
      </c>
      <c r="M11" s="394">
        <v>1222.0</v>
      </c>
      <c r="N11" s="394">
        <v>971.0</v>
      </c>
    </row>
    <row r="12" ht="15.0" customHeight="1">
      <c r="B12" s="106" t="s">
        <v>412</v>
      </c>
      <c r="C12" s="394">
        <v>514.0</v>
      </c>
      <c r="D12" s="394">
        <v>570.0</v>
      </c>
      <c r="E12" s="394">
        <v>720.0</v>
      </c>
      <c r="F12" s="394">
        <v>946.0</v>
      </c>
      <c r="G12" s="394">
        <v>1240.0</v>
      </c>
      <c r="H12" s="394">
        <v>1541.0</v>
      </c>
      <c r="I12" s="394">
        <v>1723.0</v>
      </c>
      <c r="J12" s="394">
        <v>1760.0</v>
      </c>
      <c r="K12" s="394">
        <v>1530.0</v>
      </c>
      <c r="L12" s="394">
        <v>1159.0</v>
      </c>
      <c r="M12" s="394">
        <v>842.0</v>
      </c>
      <c r="N12" s="394">
        <v>591.0</v>
      </c>
      <c r="P12" s="395"/>
    </row>
    <row r="13" ht="15.0" customHeight="1">
      <c r="B13" s="106" t="s">
        <v>413</v>
      </c>
      <c r="C13" s="394">
        <v>799.0</v>
      </c>
      <c r="D13" s="394">
        <v>832.0</v>
      </c>
      <c r="E13" s="394">
        <v>914.0</v>
      </c>
      <c r="F13" s="394">
        <v>1136.0</v>
      </c>
      <c r="G13" s="394">
        <v>1415.0</v>
      </c>
      <c r="H13" s="394">
        <v>1872.0</v>
      </c>
      <c r="I13" s="394">
        <v>2031.0</v>
      </c>
      <c r="J13" s="394">
        <v>2015.0</v>
      </c>
      <c r="K13" s="394">
        <v>1877.0</v>
      </c>
      <c r="L13" s="394">
        <v>1432.0</v>
      </c>
      <c r="M13" s="394">
        <v>1143.0</v>
      </c>
      <c r="N13" s="394">
        <v>875.0</v>
      </c>
    </row>
    <row r="14" ht="15.0" customHeight="1">
      <c r="B14" s="106" t="s">
        <v>414</v>
      </c>
      <c r="C14" s="394">
        <v>671.0</v>
      </c>
      <c r="D14" s="394">
        <v>633.0</v>
      </c>
      <c r="E14" s="394">
        <v>761.0</v>
      </c>
      <c r="F14" s="394">
        <v>910.0</v>
      </c>
      <c r="G14" s="394">
        <v>1334.0</v>
      </c>
      <c r="H14" s="394">
        <v>1587.0</v>
      </c>
      <c r="I14" s="394">
        <v>1845.0</v>
      </c>
      <c r="J14" s="394">
        <v>1812.0</v>
      </c>
      <c r="K14" s="394">
        <v>1515.0</v>
      </c>
      <c r="L14" s="394">
        <v>1162.0</v>
      </c>
      <c r="M14" s="394">
        <v>892.0</v>
      </c>
      <c r="N14" s="394">
        <v>673.0</v>
      </c>
    </row>
    <row r="15" ht="15.0" customHeight="1">
      <c r="B15" s="106" t="s">
        <v>415</v>
      </c>
      <c r="C15" s="394">
        <v>636.0</v>
      </c>
      <c r="D15" s="394">
        <v>736.0</v>
      </c>
      <c r="E15" s="394">
        <v>847.0</v>
      </c>
      <c r="F15" s="394">
        <v>1084.0</v>
      </c>
      <c r="G15" s="394">
        <v>1418.0</v>
      </c>
      <c r="H15" s="394">
        <v>1806.0</v>
      </c>
      <c r="I15" s="394">
        <v>1835.0</v>
      </c>
      <c r="J15" s="394">
        <v>1904.0</v>
      </c>
      <c r="K15" s="394">
        <v>1611.0</v>
      </c>
      <c r="L15" s="394">
        <v>1261.0</v>
      </c>
      <c r="M15" s="394">
        <v>956.0</v>
      </c>
      <c r="N15" s="394">
        <v>700.0</v>
      </c>
    </row>
    <row r="16" ht="15.0" customHeight="1">
      <c r="B16" s="106" t="s">
        <v>416</v>
      </c>
      <c r="C16" s="394">
        <v>364.0</v>
      </c>
      <c r="D16" s="394">
        <v>482.0</v>
      </c>
      <c r="E16" s="394">
        <v>645.0</v>
      </c>
      <c r="F16" s="394">
        <v>871.0</v>
      </c>
      <c r="G16" s="394">
        <v>1230.0</v>
      </c>
      <c r="H16" s="394">
        <v>1582.0</v>
      </c>
      <c r="I16" s="394">
        <v>1645.0</v>
      </c>
      <c r="J16" s="394">
        <v>1647.0</v>
      </c>
      <c r="K16" s="394">
        <v>1392.0</v>
      </c>
      <c r="L16" s="394">
        <v>1045.0</v>
      </c>
      <c r="M16" s="394">
        <v>727.0</v>
      </c>
      <c r="N16" s="394">
        <v>398.0</v>
      </c>
    </row>
    <row r="17" ht="15.0" customHeight="1">
      <c r="B17" s="106" t="s">
        <v>417</v>
      </c>
      <c r="C17" s="394">
        <v>661.0</v>
      </c>
      <c r="D17" s="394">
        <v>685.0</v>
      </c>
      <c r="E17" s="394">
        <v>783.0</v>
      </c>
      <c r="F17" s="394">
        <v>1046.0</v>
      </c>
      <c r="G17" s="394">
        <v>1467.0</v>
      </c>
      <c r="H17" s="394">
        <v>1625.0</v>
      </c>
      <c r="I17" s="394">
        <v>1910.0</v>
      </c>
      <c r="J17" s="394">
        <v>2036.0</v>
      </c>
      <c r="K17" s="394">
        <v>1622.0</v>
      </c>
      <c r="L17" s="394">
        <v>1246.0</v>
      </c>
      <c r="M17" s="394">
        <v>896.0</v>
      </c>
      <c r="N17" s="394">
        <v>582.0</v>
      </c>
    </row>
    <row r="18" ht="15.0" customHeight="1">
      <c r="B18" s="106" t="s">
        <v>418</v>
      </c>
      <c r="C18" s="394">
        <v>1023.0</v>
      </c>
      <c r="D18" s="394">
        <v>870.0</v>
      </c>
      <c r="E18" s="394">
        <v>1032.0</v>
      </c>
      <c r="F18" s="394">
        <v>1154.0</v>
      </c>
      <c r="G18" s="394">
        <v>1492.0</v>
      </c>
      <c r="H18" s="394">
        <v>1705.0</v>
      </c>
      <c r="I18" s="394">
        <v>2349.0</v>
      </c>
      <c r="J18" s="394">
        <v>2226.0</v>
      </c>
      <c r="K18" s="394">
        <v>2220.0</v>
      </c>
      <c r="L18" s="394">
        <v>1508.0</v>
      </c>
      <c r="M18" s="394">
        <v>1366.0</v>
      </c>
      <c r="N18" s="394">
        <v>1123.0</v>
      </c>
    </row>
    <row r="19" ht="15.0" customHeight="1">
      <c r="B19" s="106" t="s">
        <v>419</v>
      </c>
      <c r="C19" s="394">
        <v>973.0</v>
      </c>
      <c r="D19" s="394">
        <v>923.0</v>
      </c>
      <c r="E19" s="394">
        <v>1011.0</v>
      </c>
      <c r="F19" s="394">
        <v>1180.0</v>
      </c>
      <c r="G19" s="394">
        <v>1385.0</v>
      </c>
      <c r="H19" s="394">
        <v>1718.0</v>
      </c>
      <c r="I19" s="394">
        <v>1975.0</v>
      </c>
      <c r="J19" s="394">
        <v>2030.0</v>
      </c>
      <c r="K19" s="394">
        <v>1937.0</v>
      </c>
      <c r="L19" s="394">
        <v>1509.0</v>
      </c>
      <c r="M19" s="394">
        <v>1259.0</v>
      </c>
      <c r="N19" s="394">
        <v>1151.0</v>
      </c>
    </row>
    <row r="20" ht="15.0" customHeight="1">
      <c r="B20" s="106" t="s">
        <v>420</v>
      </c>
      <c r="C20" s="394">
        <v>816.0</v>
      </c>
      <c r="D20" s="394">
        <v>837.0</v>
      </c>
      <c r="E20" s="394">
        <v>892.0</v>
      </c>
      <c r="F20" s="394">
        <v>1091.0</v>
      </c>
      <c r="G20" s="394">
        <v>1402.0</v>
      </c>
      <c r="H20" s="394">
        <v>1913.0</v>
      </c>
      <c r="I20" s="394">
        <v>2108.0</v>
      </c>
      <c r="J20" s="394">
        <v>2080.0</v>
      </c>
      <c r="K20" s="394">
        <v>1942.0</v>
      </c>
      <c r="L20" s="394">
        <v>1484.0</v>
      </c>
      <c r="M20" s="394">
        <v>1181.0</v>
      </c>
      <c r="N20" s="394">
        <v>916.0</v>
      </c>
    </row>
    <row r="21" ht="15.0" customHeight="1">
      <c r="B21" s="106" t="s">
        <v>421</v>
      </c>
      <c r="C21" s="394">
        <v>666.0</v>
      </c>
      <c r="D21" s="394">
        <v>575.0</v>
      </c>
      <c r="E21" s="394">
        <v>620.0</v>
      </c>
      <c r="F21" s="394">
        <v>771.0</v>
      </c>
      <c r="G21" s="394">
        <v>1219.0</v>
      </c>
      <c r="H21" s="394">
        <v>1291.0</v>
      </c>
      <c r="I21" s="394">
        <v>1450.0</v>
      </c>
      <c r="J21" s="394">
        <v>1630.0</v>
      </c>
      <c r="K21" s="394">
        <v>1476.0</v>
      </c>
      <c r="L21" s="394">
        <v>994.0</v>
      </c>
      <c r="M21" s="394">
        <v>869.0</v>
      </c>
      <c r="N21" s="394">
        <v>684.0</v>
      </c>
    </row>
    <row r="22" ht="15.0" customHeight="1">
      <c r="B22" s="106" t="s">
        <v>422</v>
      </c>
      <c r="C22" s="394">
        <v>879.0</v>
      </c>
      <c r="D22" s="394">
        <v>914.0</v>
      </c>
      <c r="E22" s="394">
        <v>1008.0</v>
      </c>
      <c r="F22" s="394">
        <v>1257.0</v>
      </c>
      <c r="G22" s="394">
        <v>1522.0</v>
      </c>
      <c r="H22" s="394">
        <v>2016.0</v>
      </c>
      <c r="I22" s="394">
        <v>2150.0</v>
      </c>
      <c r="J22" s="394">
        <v>2145.0</v>
      </c>
      <c r="K22" s="394">
        <v>2026.0</v>
      </c>
      <c r="L22" s="394">
        <v>1544.0</v>
      </c>
      <c r="M22" s="394">
        <v>1239.0</v>
      </c>
      <c r="N22" s="394">
        <v>978.0</v>
      </c>
    </row>
    <row r="23" ht="15.0" customHeight="1">
      <c r="B23" s="106" t="s">
        <v>423</v>
      </c>
      <c r="C23" s="394">
        <v>901.0</v>
      </c>
      <c r="D23" s="394">
        <v>1003.0</v>
      </c>
      <c r="E23" s="394">
        <v>1056.0</v>
      </c>
      <c r="F23" s="394">
        <v>1182.0</v>
      </c>
      <c r="G23" s="394">
        <v>1536.0</v>
      </c>
      <c r="H23" s="394">
        <v>1884.0</v>
      </c>
      <c r="I23" s="394">
        <v>2015.0</v>
      </c>
      <c r="J23" s="394">
        <v>2307.0</v>
      </c>
      <c r="K23" s="394">
        <v>1968.0</v>
      </c>
      <c r="L23" s="394">
        <v>1572.0</v>
      </c>
      <c r="M23" s="394">
        <v>1274.0</v>
      </c>
      <c r="N23" s="394">
        <v>1023.0</v>
      </c>
    </row>
    <row r="24" ht="15.0" customHeight="1">
      <c r="B24" s="106" t="s">
        <v>424</v>
      </c>
      <c r="C24" s="394">
        <v>863.0</v>
      </c>
      <c r="D24" s="394">
        <v>880.0</v>
      </c>
      <c r="E24" s="394">
        <v>920.0</v>
      </c>
      <c r="F24" s="394">
        <v>1113.0</v>
      </c>
      <c r="G24" s="394">
        <v>1382.0</v>
      </c>
      <c r="H24" s="394">
        <v>1831.0</v>
      </c>
      <c r="I24" s="394">
        <v>1997.0</v>
      </c>
      <c r="J24" s="394">
        <v>2051.0</v>
      </c>
      <c r="K24" s="394">
        <v>1961.0</v>
      </c>
      <c r="L24" s="394">
        <v>1524.0</v>
      </c>
      <c r="M24" s="394">
        <v>1229.0</v>
      </c>
      <c r="N24" s="394">
        <v>969.0</v>
      </c>
    </row>
    <row r="25" ht="15.0" customHeight="1">
      <c r="B25" s="106" t="s">
        <v>425</v>
      </c>
      <c r="C25" s="394">
        <v>757.0</v>
      </c>
      <c r="D25" s="394">
        <v>788.0</v>
      </c>
      <c r="E25" s="394">
        <v>875.0</v>
      </c>
      <c r="F25" s="394">
        <v>1121.0</v>
      </c>
      <c r="G25" s="394">
        <v>1395.0</v>
      </c>
      <c r="H25" s="394">
        <v>1862.0</v>
      </c>
      <c r="I25" s="394">
        <v>2023.0</v>
      </c>
      <c r="J25" s="394">
        <v>2015.0</v>
      </c>
      <c r="K25" s="394">
        <v>1859.0</v>
      </c>
      <c r="L25" s="394">
        <v>1392.0</v>
      </c>
      <c r="M25" s="394">
        <v>1101.0</v>
      </c>
      <c r="N25" s="394">
        <v>840.0</v>
      </c>
    </row>
    <row r="26" ht="15.0" customHeight="1">
      <c r="B26" s="106" t="s">
        <v>426</v>
      </c>
      <c r="C26" s="394">
        <v>634.0</v>
      </c>
      <c r="D26" s="394">
        <v>701.0</v>
      </c>
      <c r="E26" s="394">
        <v>831.0</v>
      </c>
      <c r="F26" s="394">
        <v>1060.0</v>
      </c>
      <c r="G26" s="394">
        <v>1361.0</v>
      </c>
      <c r="H26" s="394">
        <v>1769.0</v>
      </c>
      <c r="I26" s="394">
        <v>1929.0</v>
      </c>
      <c r="J26" s="394">
        <v>1928.0</v>
      </c>
      <c r="K26" s="394">
        <v>1709.0</v>
      </c>
      <c r="L26" s="394">
        <v>1245.0</v>
      </c>
      <c r="M26" s="394">
        <v>945.0</v>
      </c>
      <c r="N26" s="394">
        <v>713.0</v>
      </c>
    </row>
    <row r="27" ht="15.0" customHeight="1">
      <c r="B27" s="106" t="s">
        <v>427</v>
      </c>
      <c r="C27" s="394">
        <v>824.0</v>
      </c>
      <c r="D27" s="394">
        <v>796.0</v>
      </c>
      <c r="E27" s="394">
        <v>853.0</v>
      </c>
      <c r="F27" s="394">
        <v>982.0</v>
      </c>
      <c r="G27" s="394">
        <v>1330.0</v>
      </c>
      <c r="H27" s="394">
        <v>1716.0</v>
      </c>
      <c r="I27" s="394">
        <v>2006.0</v>
      </c>
      <c r="J27" s="394">
        <v>1914.0</v>
      </c>
      <c r="K27" s="394">
        <v>1712.0</v>
      </c>
      <c r="L27" s="394">
        <v>1288.0</v>
      </c>
      <c r="M27" s="394">
        <v>1140.0</v>
      </c>
      <c r="N27" s="394">
        <v>863.0</v>
      </c>
    </row>
    <row r="28" ht="15.0" customHeight="1">
      <c r="B28" s="106" t="s">
        <v>428</v>
      </c>
      <c r="C28" s="394">
        <v>540.0</v>
      </c>
      <c r="D28" s="394">
        <v>618.0</v>
      </c>
      <c r="E28" s="394">
        <v>809.0</v>
      </c>
      <c r="F28" s="394">
        <v>1106.0</v>
      </c>
      <c r="G28" s="394">
        <v>1408.0</v>
      </c>
      <c r="H28" s="394">
        <v>1852.0</v>
      </c>
      <c r="I28" s="394">
        <v>1989.0</v>
      </c>
      <c r="J28" s="394">
        <v>1950.0</v>
      </c>
      <c r="K28" s="394">
        <v>1718.0</v>
      </c>
      <c r="L28" s="394">
        <v>1225.0</v>
      </c>
      <c r="M28" s="394">
        <v>880.0</v>
      </c>
      <c r="N28" s="394">
        <v>627.0</v>
      </c>
    </row>
    <row r="29" ht="15.0" customHeight="1">
      <c r="B29" s="106" t="s">
        <v>429</v>
      </c>
      <c r="C29" s="394">
        <v>820.0</v>
      </c>
      <c r="D29" s="394">
        <v>870.0</v>
      </c>
      <c r="E29" s="394">
        <v>873.0</v>
      </c>
      <c r="F29" s="394">
        <v>1251.0</v>
      </c>
      <c r="G29" s="394">
        <v>1525.0</v>
      </c>
      <c r="H29" s="394">
        <v>1876.0</v>
      </c>
      <c r="I29" s="394">
        <v>1674.0</v>
      </c>
      <c r="J29" s="394">
        <v>2089.0</v>
      </c>
      <c r="K29" s="394">
        <v>1813.0</v>
      </c>
      <c r="L29" s="394">
        <v>1349.0</v>
      </c>
      <c r="M29" s="394">
        <v>1350.0</v>
      </c>
      <c r="N29" s="394">
        <v>981.0</v>
      </c>
    </row>
    <row r="30" ht="15.0" customHeight="1">
      <c r="B30" s="106" t="s">
        <v>430</v>
      </c>
      <c r="C30" s="394">
        <v>557.0</v>
      </c>
      <c r="D30" s="394">
        <v>599.0</v>
      </c>
      <c r="E30" s="394">
        <v>725.0</v>
      </c>
      <c r="F30" s="394">
        <v>954.0</v>
      </c>
      <c r="G30" s="394">
        <v>1233.0</v>
      </c>
      <c r="H30" s="394">
        <v>1593.0</v>
      </c>
      <c r="I30" s="394">
        <v>1784.0</v>
      </c>
      <c r="J30" s="394">
        <v>1775.0</v>
      </c>
      <c r="K30" s="394">
        <v>1530.0</v>
      </c>
      <c r="L30" s="394">
        <v>1112.0</v>
      </c>
      <c r="M30" s="394">
        <v>825.0</v>
      </c>
      <c r="N30" s="394">
        <v>627.0</v>
      </c>
    </row>
    <row r="31" ht="15.0" customHeight="1">
      <c r="B31" s="106" t="s">
        <v>432</v>
      </c>
      <c r="C31" s="394">
        <v>686.0</v>
      </c>
      <c r="D31" s="394">
        <v>638.0</v>
      </c>
      <c r="E31" s="394">
        <v>615.0</v>
      </c>
      <c r="F31" s="394">
        <v>713.0</v>
      </c>
      <c r="G31" s="394">
        <v>1159.0</v>
      </c>
      <c r="H31" s="394">
        <v>1078.0</v>
      </c>
      <c r="I31" s="394">
        <v>1364.0</v>
      </c>
      <c r="J31" s="394">
        <v>1133.0</v>
      </c>
      <c r="K31" s="394">
        <v>1291.0</v>
      </c>
      <c r="L31" s="394">
        <v>1130.0</v>
      </c>
      <c r="M31" s="394">
        <v>1048.0</v>
      </c>
      <c r="N31" s="394">
        <v>843.0</v>
      </c>
    </row>
    <row r="32" ht="15.0" customHeight="1">
      <c r="B32" s="106" t="s">
        <v>433</v>
      </c>
      <c r="C32" s="394">
        <v>570.0</v>
      </c>
      <c r="D32" s="394">
        <v>618.0</v>
      </c>
      <c r="E32" s="394">
        <v>775.0</v>
      </c>
      <c r="F32" s="394">
        <v>1068.0</v>
      </c>
      <c r="G32" s="394">
        <v>1402.0</v>
      </c>
      <c r="H32" s="394">
        <v>1821.0</v>
      </c>
      <c r="I32" s="394">
        <v>1955.0</v>
      </c>
      <c r="J32" s="394">
        <v>1957.0</v>
      </c>
      <c r="K32" s="394">
        <v>1756.0</v>
      </c>
      <c r="L32" s="394">
        <v>1265.0</v>
      </c>
      <c r="M32" s="394">
        <v>934.0</v>
      </c>
      <c r="N32" s="394">
        <v>659.0</v>
      </c>
    </row>
    <row r="33" ht="15.0" customHeight="1">
      <c r="B33" s="106" t="s">
        <v>434</v>
      </c>
      <c r="C33" s="394">
        <v>745.0</v>
      </c>
      <c r="D33" s="394">
        <v>739.0</v>
      </c>
      <c r="E33" s="394">
        <v>890.0</v>
      </c>
      <c r="F33" s="394">
        <v>948.0</v>
      </c>
      <c r="G33" s="394">
        <v>1316.0</v>
      </c>
      <c r="H33" s="394">
        <v>1807.0</v>
      </c>
      <c r="I33" s="394">
        <v>1924.0</v>
      </c>
      <c r="J33" s="394">
        <v>1697.0</v>
      </c>
      <c r="K33" s="394">
        <v>1701.0</v>
      </c>
      <c r="L33" s="394">
        <v>1360.0</v>
      </c>
      <c r="M33" s="394">
        <v>1097.0</v>
      </c>
      <c r="N33" s="394">
        <v>690.0</v>
      </c>
    </row>
    <row r="34" ht="15.0" customHeight="1">
      <c r="B34" s="106" t="s">
        <v>435</v>
      </c>
      <c r="C34" s="394">
        <v>749.0</v>
      </c>
      <c r="D34" s="394">
        <v>774.0</v>
      </c>
      <c r="E34" s="394">
        <v>788.0</v>
      </c>
      <c r="F34" s="394">
        <v>1067.0</v>
      </c>
      <c r="G34" s="394">
        <v>1223.0</v>
      </c>
      <c r="H34" s="394">
        <v>1679.0</v>
      </c>
      <c r="I34" s="394">
        <v>1760.0</v>
      </c>
      <c r="J34" s="394">
        <v>1540.0</v>
      </c>
      <c r="K34" s="394">
        <v>1769.0</v>
      </c>
      <c r="L34" s="394">
        <v>1345.0</v>
      </c>
      <c r="M34" s="394">
        <v>1172.0</v>
      </c>
      <c r="N34" s="394">
        <v>860.0</v>
      </c>
    </row>
    <row r="35" ht="15.0" customHeight="1">
      <c r="B35" s="106" t="s">
        <v>436</v>
      </c>
      <c r="C35" s="394">
        <v>638.0</v>
      </c>
      <c r="D35" s="394">
        <v>682.0</v>
      </c>
      <c r="E35" s="394">
        <v>842.0</v>
      </c>
      <c r="F35" s="394">
        <v>1136.0</v>
      </c>
      <c r="G35" s="394">
        <v>1435.0</v>
      </c>
      <c r="H35" s="394">
        <v>1924.0</v>
      </c>
      <c r="I35" s="394">
        <v>2074.0</v>
      </c>
      <c r="J35" s="394">
        <v>2051.0</v>
      </c>
      <c r="K35" s="394">
        <v>1849.0</v>
      </c>
      <c r="L35" s="394">
        <v>1339.0</v>
      </c>
      <c r="M35" s="394">
        <v>993.0</v>
      </c>
      <c r="N35" s="394">
        <v>713.0</v>
      </c>
    </row>
    <row r="36" ht="15.0" customHeight="1">
      <c r="B36" s="106" t="s">
        <v>437</v>
      </c>
      <c r="C36" s="394">
        <v>757.0</v>
      </c>
      <c r="D36" s="394">
        <v>759.0</v>
      </c>
      <c r="E36" s="394">
        <v>787.0</v>
      </c>
      <c r="F36" s="394">
        <v>931.0</v>
      </c>
      <c r="G36" s="394">
        <v>1260.0</v>
      </c>
      <c r="H36" s="394">
        <v>1499.0</v>
      </c>
      <c r="I36" s="394">
        <v>1749.0</v>
      </c>
      <c r="J36" s="394">
        <v>1767.0</v>
      </c>
      <c r="K36" s="394">
        <v>1634.0</v>
      </c>
      <c r="L36" s="394">
        <v>1225.0</v>
      </c>
      <c r="M36" s="394">
        <v>988.0</v>
      </c>
      <c r="N36" s="394">
        <v>740.0</v>
      </c>
    </row>
    <row r="37" ht="15.0" customHeight="1">
      <c r="B37" s="106" t="s">
        <v>438</v>
      </c>
      <c r="C37" s="394">
        <v>718.0</v>
      </c>
      <c r="D37" s="394">
        <v>894.0</v>
      </c>
      <c r="E37" s="394">
        <v>883.0</v>
      </c>
      <c r="F37" s="394">
        <v>1042.0</v>
      </c>
      <c r="G37" s="394">
        <v>1446.0</v>
      </c>
      <c r="H37" s="394">
        <v>1630.0</v>
      </c>
      <c r="I37" s="394">
        <v>2065.0</v>
      </c>
      <c r="J37" s="394">
        <v>1991.0</v>
      </c>
      <c r="K37" s="394">
        <v>1930.0</v>
      </c>
      <c r="L37" s="394">
        <v>1369.0</v>
      </c>
      <c r="M37" s="394">
        <v>915.0</v>
      </c>
      <c r="N37" s="394">
        <v>853.0</v>
      </c>
    </row>
    <row r="38" ht="15.0" customHeight="1">
      <c r="B38" s="106" t="s">
        <v>439</v>
      </c>
      <c r="C38" s="394">
        <v>710.0</v>
      </c>
      <c r="D38" s="394">
        <v>730.0</v>
      </c>
      <c r="E38" s="394">
        <v>798.0</v>
      </c>
      <c r="F38" s="394">
        <v>999.0</v>
      </c>
      <c r="G38" s="394">
        <v>1361.0</v>
      </c>
      <c r="H38" s="394">
        <v>1645.0</v>
      </c>
      <c r="I38" s="394">
        <v>1792.0</v>
      </c>
      <c r="J38" s="394">
        <v>1862.0</v>
      </c>
      <c r="K38" s="394">
        <v>1615.0</v>
      </c>
      <c r="L38" s="394">
        <v>1212.0</v>
      </c>
      <c r="M38" s="394">
        <v>988.0</v>
      </c>
      <c r="N38" s="394">
        <v>727.0</v>
      </c>
    </row>
    <row r="39" ht="15.0" customHeight="1">
      <c r="B39" s="106" t="s">
        <v>440</v>
      </c>
      <c r="C39" s="394">
        <v>823.0</v>
      </c>
      <c r="D39" s="394">
        <v>853.0</v>
      </c>
      <c r="E39" s="394">
        <v>878.0</v>
      </c>
      <c r="F39" s="394">
        <v>1098.0</v>
      </c>
      <c r="G39" s="394">
        <v>1434.0</v>
      </c>
      <c r="H39" s="394">
        <v>1666.0</v>
      </c>
      <c r="I39" s="394">
        <v>1788.0</v>
      </c>
      <c r="J39" s="394">
        <v>1865.0</v>
      </c>
      <c r="K39" s="394">
        <v>1733.0</v>
      </c>
      <c r="L39" s="394">
        <v>1302.0</v>
      </c>
      <c r="M39" s="394">
        <v>1104.0</v>
      </c>
      <c r="N39" s="394">
        <v>948.0</v>
      </c>
    </row>
    <row r="40" ht="15.0" customHeight="1">
      <c r="B40" s="106" t="s">
        <v>441</v>
      </c>
      <c r="C40" s="394">
        <v>651.0</v>
      </c>
      <c r="D40" s="394">
        <v>703.0</v>
      </c>
      <c r="E40" s="394">
        <v>767.0</v>
      </c>
      <c r="F40" s="394">
        <v>939.0</v>
      </c>
      <c r="G40" s="394">
        <v>1360.0</v>
      </c>
      <c r="H40" s="394">
        <v>1480.0</v>
      </c>
      <c r="I40" s="394">
        <v>1873.0</v>
      </c>
      <c r="J40" s="394">
        <v>2123.0</v>
      </c>
      <c r="K40" s="394">
        <v>1696.0</v>
      </c>
      <c r="L40" s="394">
        <v>1306.0</v>
      </c>
      <c r="M40" s="394">
        <v>1046.0</v>
      </c>
      <c r="N40" s="394">
        <v>733.0</v>
      </c>
    </row>
    <row r="41" ht="15.0" customHeight="1">
      <c r="B41" s="106" t="s">
        <v>442</v>
      </c>
      <c r="C41" s="394">
        <v>744.0</v>
      </c>
      <c r="D41" s="394">
        <v>735.0</v>
      </c>
      <c r="E41" s="394">
        <v>820.0</v>
      </c>
      <c r="F41" s="394">
        <v>946.0</v>
      </c>
      <c r="G41" s="394">
        <v>1280.0</v>
      </c>
      <c r="H41" s="394">
        <v>1666.0</v>
      </c>
      <c r="I41" s="394">
        <v>1886.0</v>
      </c>
      <c r="J41" s="394">
        <v>1906.0</v>
      </c>
      <c r="K41" s="394">
        <v>1718.0</v>
      </c>
      <c r="L41" s="394">
        <v>1312.0</v>
      </c>
      <c r="M41" s="394">
        <v>1047.0</v>
      </c>
      <c r="N41" s="394">
        <v>826.0</v>
      </c>
    </row>
    <row r="42" ht="15.0" customHeight="1">
      <c r="B42" s="106" t="s">
        <v>443</v>
      </c>
      <c r="C42" s="394">
        <v>863.0</v>
      </c>
      <c r="D42" s="394">
        <v>894.0</v>
      </c>
      <c r="E42" s="394">
        <v>947.0</v>
      </c>
      <c r="F42" s="394">
        <v>1121.0</v>
      </c>
      <c r="G42" s="394">
        <v>1375.0</v>
      </c>
      <c r="H42" s="394">
        <v>1748.0</v>
      </c>
      <c r="I42" s="394">
        <v>1938.0</v>
      </c>
      <c r="J42" s="394">
        <v>1979.0</v>
      </c>
      <c r="K42" s="394">
        <v>1887.0</v>
      </c>
      <c r="L42" s="394">
        <v>1484.0</v>
      </c>
      <c r="M42" s="394">
        <v>1186.0</v>
      </c>
      <c r="N42" s="394">
        <v>943.0</v>
      </c>
    </row>
    <row r="43" ht="15.0" customHeight="1">
      <c r="B43" s="106" t="s">
        <v>444</v>
      </c>
      <c r="C43" s="394">
        <v>1003.0</v>
      </c>
      <c r="D43" s="394">
        <v>1084.0</v>
      </c>
      <c r="E43" s="394">
        <v>979.0</v>
      </c>
      <c r="F43" s="394">
        <v>1009.0</v>
      </c>
      <c r="G43" s="394">
        <v>1204.0</v>
      </c>
      <c r="H43" s="394">
        <v>1507.0</v>
      </c>
      <c r="I43" s="394">
        <v>1735.0</v>
      </c>
      <c r="J43" s="394">
        <v>2073.0</v>
      </c>
      <c r="K43" s="394">
        <v>1808.0</v>
      </c>
      <c r="L43" s="394">
        <v>1504.0</v>
      </c>
      <c r="M43" s="394">
        <v>1121.0</v>
      </c>
      <c r="N43" s="394">
        <v>1097.0</v>
      </c>
    </row>
    <row r="44" ht="15.0" customHeight="1">
      <c r="B44" s="106" t="s">
        <v>445</v>
      </c>
      <c r="C44" s="394">
        <v>676.0</v>
      </c>
      <c r="D44" s="394">
        <v>735.0</v>
      </c>
      <c r="E44" s="394">
        <v>875.0</v>
      </c>
      <c r="F44" s="394">
        <v>1106.0</v>
      </c>
      <c r="G44" s="394">
        <v>1314.0</v>
      </c>
      <c r="H44" s="394">
        <v>1666.0</v>
      </c>
      <c r="I44" s="394">
        <v>1844.0</v>
      </c>
      <c r="J44" s="394">
        <v>1855.0</v>
      </c>
      <c r="K44" s="394">
        <v>1671.0</v>
      </c>
      <c r="L44" s="394">
        <v>1285.0</v>
      </c>
      <c r="M44" s="394">
        <v>988.0</v>
      </c>
      <c r="N44" s="394">
        <v>754.0</v>
      </c>
    </row>
    <row r="45" ht="15.0" customHeight="1">
      <c r="B45" s="106" t="s">
        <v>446</v>
      </c>
      <c r="C45" s="394">
        <v>829.0</v>
      </c>
      <c r="D45" s="394">
        <v>856.0</v>
      </c>
      <c r="E45" s="394">
        <v>958.0</v>
      </c>
      <c r="F45" s="394">
        <v>1151.0</v>
      </c>
      <c r="G45" s="394">
        <v>1402.0</v>
      </c>
      <c r="H45" s="394">
        <v>1841.0</v>
      </c>
      <c r="I45" s="394">
        <v>1997.0</v>
      </c>
      <c r="J45" s="394">
        <v>2001.0</v>
      </c>
      <c r="K45" s="394">
        <v>1887.0</v>
      </c>
      <c r="L45" s="394">
        <v>1471.0</v>
      </c>
      <c r="M45" s="394">
        <v>1175.0</v>
      </c>
      <c r="N45" s="394">
        <v>920.0</v>
      </c>
    </row>
    <row r="46" ht="15.0" customHeight="1">
      <c r="B46" s="106" t="s">
        <v>447</v>
      </c>
      <c r="C46" s="394">
        <v>548.0</v>
      </c>
      <c r="D46" s="394">
        <v>618.0</v>
      </c>
      <c r="E46" s="394">
        <v>820.0</v>
      </c>
      <c r="F46" s="394">
        <v>1121.0</v>
      </c>
      <c r="G46" s="394">
        <v>1435.0</v>
      </c>
      <c r="H46" s="394">
        <v>1913.0</v>
      </c>
      <c r="I46" s="394">
        <v>2006.0</v>
      </c>
      <c r="J46" s="394">
        <v>1950.0</v>
      </c>
      <c r="K46" s="394">
        <v>1709.0</v>
      </c>
      <c r="L46" s="394">
        <v>1225.0</v>
      </c>
      <c r="M46" s="394">
        <v>885.0</v>
      </c>
      <c r="N46" s="394">
        <v>627.0</v>
      </c>
    </row>
    <row r="47" ht="15.0" customHeight="1">
      <c r="B47" s="106" t="s">
        <v>448</v>
      </c>
      <c r="C47" s="394">
        <v>770.0</v>
      </c>
      <c r="D47" s="394">
        <v>808.0</v>
      </c>
      <c r="E47" s="394">
        <v>903.0</v>
      </c>
      <c r="F47" s="394">
        <v>1106.0</v>
      </c>
      <c r="G47" s="394">
        <v>1388.0</v>
      </c>
      <c r="H47" s="394">
        <v>1779.0</v>
      </c>
      <c r="I47" s="394">
        <v>1946.0</v>
      </c>
      <c r="J47" s="394">
        <v>1964.0</v>
      </c>
      <c r="K47" s="394">
        <v>1831.0</v>
      </c>
      <c r="L47" s="394">
        <v>1385.0</v>
      </c>
      <c r="M47" s="394">
        <v>1079.0</v>
      </c>
      <c r="N47" s="394">
        <v>844.0</v>
      </c>
    </row>
    <row r="48" ht="15.0" customHeight="1">
      <c r="B48" s="106" t="s">
        <v>449</v>
      </c>
      <c r="C48" s="394">
        <v>672.0</v>
      </c>
      <c r="D48" s="394">
        <v>716.0</v>
      </c>
      <c r="E48" s="394">
        <v>803.0</v>
      </c>
      <c r="F48" s="394">
        <v>1037.0</v>
      </c>
      <c r="G48" s="394">
        <v>1334.0</v>
      </c>
      <c r="H48" s="394">
        <v>1728.0</v>
      </c>
      <c r="I48" s="394">
        <v>1921.0</v>
      </c>
      <c r="J48" s="394">
        <v>1935.0</v>
      </c>
      <c r="K48" s="394">
        <v>1737.0</v>
      </c>
      <c r="L48" s="394">
        <v>1292.0</v>
      </c>
      <c r="M48" s="394">
        <v>1004.0</v>
      </c>
      <c r="N48" s="394">
        <v>772.0</v>
      </c>
    </row>
    <row r="49" ht="15.0" customHeight="1">
      <c r="B49" s="106" t="s">
        <v>450</v>
      </c>
      <c r="C49" s="394">
        <v>552.0</v>
      </c>
      <c r="D49" s="394">
        <v>618.0</v>
      </c>
      <c r="E49" s="394">
        <v>809.0</v>
      </c>
      <c r="F49" s="394">
        <v>1106.0</v>
      </c>
      <c r="G49" s="394">
        <v>1408.0</v>
      </c>
      <c r="H49" s="394">
        <v>1862.0</v>
      </c>
      <c r="I49" s="394">
        <v>1989.0</v>
      </c>
      <c r="J49" s="394">
        <v>1964.0</v>
      </c>
      <c r="K49" s="394">
        <v>1746.0</v>
      </c>
      <c r="L49" s="394">
        <v>1265.0</v>
      </c>
      <c r="M49" s="394">
        <v>923.0</v>
      </c>
      <c r="N49" s="394">
        <v>645.0</v>
      </c>
    </row>
    <row r="50" ht="15.0" customHeight="1">
      <c r="B50" s="106" t="s">
        <v>451</v>
      </c>
      <c r="C50" s="394">
        <v>799.0</v>
      </c>
      <c r="D50" s="394">
        <v>817.0</v>
      </c>
      <c r="E50" s="394">
        <v>914.0</v>
      </c>
      <c r="F50" s="394">
        <v>1098.0</v>
      </c>
      <c r="G50" s="394">
        <v>1375.0</v>
      </c>
      <c r="H50" s="394">
        <v>1779.0</v>
      </c>
      <c r="I50" s="394">
        <v>1938.0</v>
      </c>
      <c r="J50" s="394">
        <v>1942.0</v>
      </c>
      <c r="K50" s="394">
        <v>1803.0</v>
      </c>
      <c r="L50" s="394">
        <v>1392.0</v>
      </c>
      <c r="M50" s="394">
        <v>1101.0</v>
      </c>
      <c r="N50" s="394">
        <v>871.0</v>
      </c>
    </row>
    <row r="51" ht="15.0" customHeight="1">
      <c r="B51" s="106" t="s">
        <v>452</v>
      </c>
      <c r="C51" s="394">
        <v>812.0</v>
      </c>
      <c r="D51" s="394">
        <v>775.0</v>
      </c>
      <c r="E51" s="394">
        <v>848.0</v>
      </c>
      <c r="F51" s="394">
        <v>893.0</v>
      </c>
      <c r="G51" s="394">
        <v>1174.0</v>
      </c>
      <c r="H51" s="394">
        <v>1274.0</v>
      </c>
      <c r="I51" s="394">
        <v>1657.0</v>
      </c>
      <c r="J51" s="394">
        <v>1660.0</v>
      </c>
      <c r="K51" s="394">
        <v>1564.0</v>
      </c>
      <c r="L51" s="394">
        <v>1225.0</v>
      </c>
      <c r="M51" s="394">
        <v>968.0</v>
      </c>
      <c r="N51" s="394">
        <v>881.0</v>
      </c>
    </row>
    <row r="52" ht="15.0" customHeight="1">
      <c r="B52" s="106" t="s">
        <v>453</v>
      </c>
      <c r="C52" s="394">
        <v>921.0</v>
      </c>
      <c r="D52" s="394">
        <v>916.0</v>
      </c>
      <c r="E52" s="394">
        <v>966.0</v>
      </c>
      <c r="F52" s="394">
        <v>1134.0</v>
      </c>
      <c r="G52" s="394">
        <v>1548.0</v>
      </c>
      <c r="H52" s="394">
        <v>1935.0</v>
      </c>
      <c r="I52" s="394">
        <v>2123.0</v>
      </c>
      <c r="J52" s="394">
        <v>2001.0</v>
      </c>
      <c r="K52" s="394">
        <v>1880.0</v>
      </c>
      <c r="L52" s="394">
        <v>1438.0</v>
      </c>
      <c r="M52" s="394">
        <v>1282.0</v>
      </c>
      <c r="N52" s="394">
        <v>1099.0</v>
      </c>
    </row>
    <row r="53" ht="15.0" customHeight="1">
      <c r="B53" s="106" t="s">
        <v>454</v>
      </c>
      <c r="C53" s="394">
        <v>590.0</v>
      </c>
      <c r="D53" s="394">
        <v>645.0</v>
      </c>
      <c r="E53" s="394">
        <v>943.0</v>
      </c>
      <c r="F53" s="394">
        <v>1163.0</v>
      </c>
      <c r="G53" s="394">
        <v>1326.0</v>
      </c>
      <c r="H53" s="394">
        <v>1840.0</v>
      </c>
      <c r="I53" s="394">
        <v>1736.0</v>
      </c>
      <c r="J53" s="394">
        <v>2012.0</v>
      </c>
      <c r="K53" s="394">
        <v>1921.0</v>
      </c>
      <c r="L53" s="394">
        <v>1412.0</v>
      </c>
      <c r="M53" s="394">
        <v>958.0</v>
      </c>
      <c r="N53" s="394">
        <v>671.0</v>
      </c>
    </row>
    <row r="54" ht="15.0" customHeight="1">
      <c r="B54" s="106" t="s">
        <v>455</v>
      </c>
      <c r="C54" s="394">
        <v>570.0</v>
      </c>
      <c r="D54" s="394">
        <v>628.0</v>
      </c>
      <c r="E54" s="394">
        <v>820.0</v>
      </c>
      <c r="F54" s="394">
        <v>1106.0</v>
      </c>
      <c r="G54" s="394">
        <v>1395.0</v>
      </c>
      <c r="H54" s="394">
        <v>1841.0</v>
      </c>
      <c r="I54" s="394">
        <v>1989.0</v>
      </c>
      <c r="J54" s="394">
        <v>1979.0</v>
      </c>
      <c r="K54" s="394">
        <v>1756.0</v>
      </c>
      <c r="L54" s="394">
        <v>1265.0</v>
      </c>
      <c r="M54" s="394">
        <v>928.0</v>
      </c>
      <c r="N54" s="394">
        <v>654.0</v>
      </c>
    </row>
    <row r="55" ht="15.0" customHeight="1">
      <c r="B55" s="106" t="s">
        <v>456</v>
      </c>
      <c r="C55" s="394">
        <v>849.0</v>
      </c>
      <c r="D55" s="394">
        <v>870.0</v>
      </c>
      <c r="E55" s="394">
        <v>933.0</v>
      </c>
      <c r="F55" s="394">
        <v>1157.0</v>
      </c>
      <c r="G55" s="394">
        <v>1402.0</v>
      </c>
      <c r="H55" s="394">
        <v>1851.0</v>
      </c>
      <c r="I55" s="394">
        <v>1823.0</v>
      </c>
      <c r="J55" s="394">
        <v>2043.0</v>
      </c>
      <c r="K55" s="394">
        <v>1776.0</v>
      </c>
      <c r="L55" s="394">
        <v>1472.0</v>
      </c>
      <c r="M55" s="394">
        <v>1192.0</v>
      </c>
      <c r="N55" s="394">
        <v>922.0</v>
      </c>
    </row>
    <row r="56" ht="15.0" customHeight="1">
      <c r="B56" s="106" t="s">
        <v>457</v>
      </c>
      <c r="C56" s="394">
        <v>624.0</v>
      </c>
      <c r="D56" s="394">
        <v>619.0</v>
      </c>
      <c r="E56" s="394">
        <v>802.0</v>
      </c>
      <c r="F56" s="394">
        <v>850.0</v>
      </c>
      <c r="G56" s="394">
        <v>1176.0</v>
      </c>
      <c r="H56" s="394">
        <v>1534.0</v>
      </c>
      <c r="I56" s="394">
        <v>1825.0</v>
      </c>
      <c r="J56" s="394">
        <v>1797.0</v>
      </c>
      <c r="K56" s="394">
        <v>1560.0</v>
      </c>
      <c r="L56" s="394">
        <v>1031.0</v>
      </c>
      <c r="M56" s="394">
        <v>831.0</v>
      </c>
      <c r="N56" s="394">
        <v>550.0</v>
      </c>
    </row>
    <row r="57" ht="15.0" customHeight="1">
      <c r="B57" s="106" t="s">
        <v>458</v>
      </c>
      <c r="C57" s="394">
        <v>748.0</v>
      </c>
      <c r="D57" s="394">
        <v>968.0</v>
      </c>
      <c r="E57" s="394">
        <v>949.0</v>
      </c>
      <c r="F57" s="394">
        <v>1118.0</v>
      </c>
      <c r="G57" s="394">
        <v>1453.0</v>
      </c>
      <c r="H57" s="394">
        <v>1679.0</v>
      </c>
      <c r="I57" s="394">
        <v>2167.0</v>
      </c>
      <c r="J57" s="394">
        <v>2031.0</v>
      </c>
      <c r="K57" s="394">
        <v>1740.0</v>
      </c>
      <c r="L57" s="394">
        <v>1512.0</v>
      </c>
      <c r="M57" s="394">
        <v>1161.0</v>
      </c>
      <c r="N57" s="394">
        <v>1009.0</v>
      </c>
    </row>
    <row r="58" ht="15.0" customHeight="1">
      <c r="B58" s="106" t="s">
        <v>459</v>
      </c>
      <c r="C58" s="394">
        <v>917.0</v>
      </c>
      <c r="D58" s="394">
        <v>952.0</v>
      </c>
      <c r="E58" s="394">
        <v>1025.0</v>
      </c>
      <c r="F58" s="394">
        <v>1196.0</v>
      </c>
      <c r="G58" s="394">
        <v>1408.0</v>
      </c>
      <c r="H58" s="394">
        <v>1800.0</v>
      </c>
      <c r="I58" s="394">
        <v>1921.0</v>
      </c>
      <c r="J58" s="394">
        <v>2001.0</v>
      </c>
      <c r="K58" s="394">
        <v>1989.0</v>
      </c>
      <c r="L58" s="394">
        <v>1577.0</v>
      </c>
      <c r="M58" s="394">
        <v>1266.0</v>
      </c>
      <c r="N58" s="394">
        <v>1001.0</v>
      </c>
    </row>
    <row r="59" ht="15.0" customHeight="1">
      <c r="B59" s="106" t="s">
        <v>460</v>
      </c>
      <c r="C59" s="394">
        <v>591.0</v>
      </c>
      <c r="D59" s="394">
        <v>652.0</v>
      </c>
      <c r="E59" s="394">
        <v>809.0</v>
      </c>
      <c r="F59" s="394">
        <v>1083.0</v>
      </c>
      <c r="G59" s="394">
        <v>1388.0</v>
      </c>
      <c r="H59" s="394">
        <v>1790.0</v>
      </c>
      <c r="I59" s="394">
        <v>1929.0</v>
      </c>
      <c r="J59" s="394">
        <v>1928.0</v>
      </c>
      <c r="K59" s="394">
        <v>1718.0</v>
      </c>
      <c r="L59" s="394">
        <v>1252.0</v>
      </c>
      <c r="M59" s="394">
        <v>934.0</v>
      </c>
      <c r="N59" s="394">
        <v>677.0</v>
      </c>
    </row>
    <row r="60" ht="15.0" customHeight="1">
      <c r="B60" s="106" t="s">
        <v>461</v>
      </c>
      <c r="C60" s="394">
        <v>888.0</v>
      </c>
      <c r="D60" s="394">
        <v>901.0</v>
      </c>
      <c r="E60" s="394">
        <v>824.0</v>
      </c>
      <c r="F60" s="394">
        <v>1064.0</v>
      </c>
      <c r="G60" s="394">
        <v>1259.0</v>
      </c>
      <c r="H60" s="394">
        <v>1681.0</v>
      </c>
      <c r="I60" s="394">
        <v>1771.0</v>
      </c>
      <c r="J60" s="394">
        <v>1834.0</v>
      </c>
      <c r="K60" s="394">
        <v>1849.0</v>
      </c>
      <c r="L60" s="394">
        <v>1467.0</v>
      </c>
      <c r="M60" s="394">
        <v>1162.0</v>
      </c>
      <c r="N60" s="394">
        <v>928.0</v>
      </c>
    </row>
    <row r="61" ht="15.0" customHeight="1">
      <c r="B61" s="106" t="s">
        <v>462</v>
      </c>
      <c r="C61" s="394">
        <v>615.0</v>
      </c>
      <c r="D61" s="394">
        <v>655.0</v>
      </c>
      <c r="E61" s="394">
        <v>931.0</v>
      </c>
      <c r="F61" s="394">
        <v>1024.0</v>
      </c>
      <c r="G61" s="394">
        <v>1384.0</v>
      </c>
      <c r="H61" s="394">
        <v>1622.0</v>
      </c>
      <c r="I61" s="394">
        <v>1982.0</v>
      </c>
      <c r="J61" s="394">
        <v>2024.0</v>
      </c>
      <c r="K61" s="394">
        <v>1514.0</v>
      </c>
      <c r="L61" s="394">
        <v>1238.0</v>
      </c>
      <c r="M61" s="394">
        <v>840.0</v>
      </c>
      <c r="N61" s="394">
        <v>572.0</v>
      </c>
    </row>
    <row r="62" ht="15.0" customHeight="1">
      <c r="B62" s="106" t="s">
        <v>463</v>
      </c>
      <c r="C62" s="394">
        <v>531.0</v>
      </c>
      <c r="D62" s="394">
        <v>613.0</v>
      </c>
      <c r="E62" s="394">
        <v>809.0</v>
      </c>
      <c r="F62" s="394">
        <v>1075.0</v>
      </c>
      <c r="G62" s="394">
        <v>1388.0</v>
      </c>
      <c r="H62" s="394">
        <v>1790.0</v>
      </c>
      <c r="I62" s="394">
        <v>1921.0</v>
      </c>
      <c r="J62" s="394">
        <v>1899.0</v>
      </c>
      <c r="K62" s="394">
        <v>1681.0</v>
      </c>
      <c r="L62" s="394">
        <v>1219.0</v>
      </c>
      <c r="M62" s="394">
        <v>874.0</v>
      </c>
      <c r="N62" s="394">
        <v>618.0</v>
      </c>
    </row>
    <row r="63" ht="15.0" customHeight="1">
      <c r="B63" s="106" t="s">
        <v>464</v>
      </c>
      <c r="C63" s="394">
        <v>586.0</v>
      </c>
      <c r="D63" s="394">
        <v>742.0</v>
      </c>
      <c r="E63" s="394">
        <v>524.0</v>
      </c>
      <c r="F63" s="394">
        <v>911.0</v>
      </c>
      <c r="G63" s="394">
        <v>1181.0</v>
      </c>
      <c r="H63" s="394">
        <v>1250.0</v>
      </c>
      <c r="I63" s="394">
        <v>1416.0</v>
      </c>
      <c r="J63" s="394">
        <v>1389.0</v>
      </c>
      <c r="K63" s="394">
        <v>1691.0</v>
      </c>
      <c r="L63" s="394">
        <v>1257.0</v>
      </c>
      <c r="M63" s="394">
        <v>1064.0</v>
      </c>
      <c r="N63" s="394">
        <v>751.0</v>
      </c>
    </row>
    <row r="64" ht="15.0" customHeight="1">
      <c r="B64" s="106" t="s">
        <v>465</v>
      </c>
      <c r="C64" s="394">
        <v>663.0</v>
      </c>
      <c r="D64" s="394">
        <v>686.0</v>
      </c>
      <c r="E64" s="394">
        <v>809.0</v>
      </c>
      <c r="F64" s="394">
        <v>1030.0</v>
      </c>
      <c r="G64" s="394">
        <v>1328.0</v>
      </c>
      <c r="H64" s="394">
        <v>1717.0</v>
      </c>
      <c r="I64" s="394">
        <v>1895.0</v>
      </c>
      <c r="J64" s="394">
        <v>1899.0</v>
      </c>
      <c r="K64" s="394">
        <v>1718.0</v>
      </c>
      <c r="L64" s="394">
        <v>1312.0</v>
      </c>
      <c r="M64" s="394">
        <v>1025.0</v>
      </c>
      <c r="N64" s="394">
        <v>758.0</v>
      </c>
    </row>
    <row r="65" ht="15.0" customHeight="1">
      <c r="B65" s="106" t="s">
        <v>466</v>
      </c>
      <c r="C65" s="394">
        <v>759.0</v>
      </c>
      <c r="D65" s="394">
        <v>771.0</v>
      </c>
      <c r="E65" s="394">
        <v>809.0</v>
      </c>
      <c r="F65" s="394">
        <v>1134.0</v>
      </c>
      <c r="G65" s="394">
        <v>1455.0</v>
      </c>
      <c r="H65" s="394">
        <v>1719.0</v>
      </c>
      <c r="I65" s="394">
        <v>2092.0</v>
      </c>
      <c r="J65" s="394">
        <v>2145.0</v>
      </c>
      <c r="K65" s="394">
        <v>1852.0</v>
      </c>
      <c r="L65" s="394">
        <v>1410.0</v>
      </c>
      <c r="M65" s="394">
        <v>1019.0</v>
      </c>
      <c r="N65" s="394">
        <v>871.0</v>
      </c>
    </row>
    <row r="66" ht="15.0" customHeight="1">
      <c r="B66" s="106" t="s">
        <v>467</v>
      </c>
      <c r="C66" s="394">
        <v>595.0</v>
      </c>
      <c r="D66" s="394">
        <v>635.0</v>
      </c>
      <c r="E66" s="394">
        <v>718.0</v>
      </c>
      <c r="F66" s="394">
        <v>969.0</v>
      </c>
      <c r="G66" s="394">
        <v>1378.0</v>
      </c>
      <c r="H66" s="394">
        <v>1409.0</v>
      </c>
      <c r="I66" s="394">
        <v>2235.0</v>
      </c>
      <c r="J66" s="394">
        <v>1922.0</v>
      </c>
      <c r="K66" s="394">
        <v>1560.0</v>
      </c>
      <c r="L66" s="394">
        <v>1299.0</v>
      </c>
      <c r="M66" s="394">
        <v>964.0</v>
      </c>
      <c r="N66" s="394">
        <v>564.0</v>
      </c>
    </row>
    <row r="67" ht="15.0" customHeight="1">
      <c r="B67" s="106" t="s">
        <v>468</v>
      </c>
      <c r="C67" s="394">
        <v>790.0</v>
      </c>
      <c r="D67" s="394">
        <v>917.0</v>
      </c>
      <c r="E67" s="394">
        <v>937.0</v>
      </c>
      <c r="F67" s="394">
        <v>1156.0</v>
      </c>
      <c r="G67" s="394">
        <v>1586.0</v>
      </c>
      <c r="H67" s="394">
        <v>1656.0</v>
      </c>
      <c r="I67" s="394">
        <v>2029.0</v>
      </c>
      <c r="J67" s="394">
        <v>2081.0</v>
      </c>
      <c r="K67" s="394">
        <v>1762.0</v>
      </c>
      <c r="L67" s="394">
        <v>1530.0</v>
      </c>
      <c r="M67" s="394">
        <v>1189.0</v>
      </c>
      <c r="N67" s="394">
        <v>922.0</v>
      </c>
    </row>
    <row r="68" ht="15.0" customHeight="1">
      <c r="B68" s="106" t="s">
        <v>469</v>
      </c>
      <c r="C68" s="394">
        <v>736.0</v>
      </c>
      <c r="D68" s="394">
        <v>774.0</v>
      </c>
      <c r="E68" s="394">
        <v>892.0</v>
      </c>
      <c r="F68" s="394">
        <v>1113.0</v>
      </c>
      <c r="G68" s="394">
        <v>1395.0</v>
      </c>
      <c r="H68" s="394">
        <v>1790.0</v>
      </c>
      <c r="I68" s="394">
        <v>1972.0</v>
      </c>
      <c r="J68" s="394">
        <v>1964.0</v>
      </c>
      <c r="K68" s="394">
        <v>1831.0</v>
      </c>
      <c r="L68" s="394">
        <v>1352.0</v>
      </c>
      <c r="M68" s="394">
        <v>1052.0</v>
      </c>
      <c r="N68" s="394">
        <v>799.0</v>
      </c>
    </row>
    <row r="69" ht="15.0" customHeight="1">
      <c r="B69" s="106" t="s">
        <v>470</v>
      </c>
      <c r="C69" s="394">
        <v>561.0</v>
      </c>
      <c r="D69" s="394">
        <v>637.0</v>
      </c>
      <c r="E69" s="394">
        <v>680.0</v>
      </c>
      <c r="F69" s="394">
        <v>872.0</v>
      </c>
      <c r="G69" s="394">
        <v>1112.0</v>
      </c>
      <c r="H69" s="394">
        <v>1572.0</v>
      </c>
      <c r="I69" s="394">
        <v>1744.0</v>
      </c>
      <c r="J69" s="394">
        <v>1924.0</v>
      </c>
      <c r="K69" s="394">
        <v>1529.0</v>
      </c>
      <c r="L69" s="394">
        <v>951.0</v>
      </c>
      <c r="M69" s="394">
        <v>835.0</v>
      </c>
      <c r="N69" s="394">
        <v>535.0</v>
      </c>
    </row>
    <row r="70" ht="15.0" customHeight="1">
      <c r="B70" s="106" t="s">
        <v>471</v>
      </c>
      <c r="C70" s="394">
        <v>526.0</v>
      </c>
      <c r="D70" s="394">
        <v>544.0</v>
      </c>
      <c r="E70" s="394">
        <v>590.0</v>
      </c>
      <c r="F70" s="394">
        <v>790.0</v>
      </c>
      <c r="G70" s="394">
        <v>1045.0</v>
      </c>
      <c r="H70" s="394">
        <v>1177.0</v>
      </c>
      <c r="I70" s="394">
        <v>1383.0</v>
      </c>
      <c r="J70" s="394">
        <v>1260.0</v>
      </c>
      <c r="K70" s="394">
        <v>1307.0</v>
      </c>
      <c r="L70" s="394">
        <v>972.0</v>
      </c>
      <c r="M70" s="394">
        <v>822.0</v>
      </c>
      <c r="N70" s="394">
        <v>643.0</v>
      </c>
    </row>
    <row r="71" ht="15.0" customHeight="1">
      <c r="B71" s="106" t="s">
        <v>472</v>
      </c>
      <c r="C71" s="394">
        <v>748.0</v>
      </c>
      <c r="D71" s="394">
        <v>793.0</v>
      </c>
      <c r="E71" s="394">
        <v>920.0</v>
      </c>
      <c r="F71" s="394">
        <v>1181.0</v>
      </c>
      <c r="G71" s="394">
        <v>1449.0</v>
      </c>
      <c r="H71" s="394">
        <v>1893.0</v>
      </c>
      <c r="I71" s="394">
        <v>2048.0</v>
      </c>
      <c r="J71" s="394">
        <v>2044.0</v>
      </c>
      <c r="K71" s="394">
        <v>1896.0</v>
      </c>
      <c r="L71" s="394">
        <v>1405.0</v>
      </c>
      <c r="M71" s="394">
        <v>1079.0</v>
      </c>
      <c r="N71" s="394">
        <v>822.0</v>
      </c>
    </row>
    <row r="72" ht="15.0" customHeight="1">
      <c r="B72" s="106" t="s">
        <v>473</v>
      </c>
      <c r="C72" s="394">
        <v>875.0</v>
      </c>
      <c r="D72" s="394">
        <v>904.0</v>
      </c>
      <c r="E72" s="394">
        <v>964.0</v>
      </c>
      <c r="F72" s="394">
        <v>1166.0</v>
      </c>
      <c r="G72" s="394">
        <v>1482.0</v>
      </c>
      <c r="H72" s="394">
        <v>2026.0</v>
      </c>
      <c r="I72" s="394">
        <v>2184.0</v>
      </c>
      <c r="J72" s="394">
        <v>2167.0</v>
      </c>
      <c r="K72" s="394">
        <v>2045.0</v>
      </c>
      <c r="L72" s="394">
        <v>1557.0</v>
      </c>
      <c r="M72" s="394">
        <v>1261.0</v>
      </c>
      <c r="N72" s="394">
        <v>969.0</v>
      </c>
    </row>
    <row r="73" ht="15.0" customHeight="1">
      <c r="B73" s="106" t="s">
        <v>474</v>
      </c>
      <c r="C73" s="394">
        <v>670.0</v>
      </c>
      <c r="D73" s="394">
        <v>703.0</v>
      </c>
      <c r="E73" s="394">
        <v>941.0</v>
      </c>
      <c r="F73" s="394">
        <v>1133.0</v>
      </c>
      <c r="G73" s="394">
        <v>1466.0</v>
      </c>
      <c r="H73" s="394">
        <v>1914.0</v>
      </c>
      <c r="I73" s="394">
        <v>2131.0</v>
      </c>
      <c r="J73" s="394">
        <v>1991.0</v>
      </c>
      <c r="K73" s="394">
        <v>1883.0</v>
      </c>
      <c r="L73" s="394">
        <v>1372.0</v>
      </c>
      <c r="M73" s="394">
        <v>902.0</v>
      </c>
      <c r="N73" s="394">
        <v>701.0</v>
      </c>
    </row>
    <row r="74" ht="15.0" customHeight="1">
      <c r="B74" s="106" t="s">
        <v>475</v>
      </c>
      <c r="C74" s="394">
        <v>980.0</v>
      </c>
      <c r="D74" s="394">
        <v>1014.0</v>
      </c>
      <c r="E74" s="394">
        <v>1052.0</v>
      </c>
      <c r="F74" s="394">
        <v>1257.0</v>
      </c>
      <c r="G74" s="394">
        <v>1496.0</v>
      </c>
      <c r="H74" s="394">
        <v>1965.0</v>
      </c>
      <c r="I74" s="394">
        <v>2108.0</v>
      </c>
      <c r="J74" s="394">
        <v>2145.0</v>
      </c>
      <c r="K74" s="394">
        <v>2100.0</v>
      </c>
      <c r="L74" s="394">
        <v>1662.0</v>
      </c>
      <c r="M74" s="394">
        <v>1377.0</v>
      </c>
      <c r="N74" s="394">
        <v>1085.0</v>
      </c>
    </row>
    <row r="75" ht="15.0" customHeight="1">
      <c r="B75" s="106" t="s">
        <v>476</v>
      </c>
      <c r="C75" s="394">
        <v>557.0</v>
      </c>
      <c r="D75" s="394">
        <v>613.0</v>
      </c>
      <c r="E75" s="394">
        <v>798.0</v>
      </c>
      <c r="F75" s="394">
        <v>1060.0</v>
      </c>
      <c r="G75" s="394">
        <v>1375.0</v>
      </c>
      <c r="H75" s="394">
        <v>1779.0</v>
      </c>
      <c r="I75" s="394">
        <v>1946.0</v>
      </c>
      <c r="J75" s="394">
        <v>1913.0</v>
      </c>
      <c r="K75" s="394">
        <v>1709.0</v>
      </c>
      <c r="L75" s="394">
        <v>1219.0</v>
      </c>
      <c r="M75" s="394">
        <v>880.0</v>
      </c>
      <c r="N75" s="394">
        <v>641.0</v>
      </c>
    </row>
    <row r="76" ht="15.0" customHeight="1">
      <c r="B76" s="106" t="s">
        <v>477</v>
      </c>
      <c r="C76" s="394">
        <v>668.0</v>
      </c>
      <c r="D76" s="394">
        <v>696.0</v>
      </c>
      <c r="E76" s="394">
        <v>792.0</v>
      </c>
      <c r="F76" s="394">
        <v>977.0</v>
      </c>
      <c r="G76" s="394">
        <v>1260.0</v>
      </c>
      <c r="H76" s="394">
        <v>1531.0</v>
      </c>
      <c r="I76" s="394">
        <v>1775.0</v>
      </c>
      <c r="J76" s="394">
        <v>1826.0</v>
      </c>
      <c r="K76" s="394">
        <v>1643.0</v>
      </c>
      <c r="L76" s="394">
        <v>1232.0</v>
      </c>
      <c r="M76" s="394">
        <v>961.0</v>
      </c>
      <c r="N76" s="394">
        <v>745.0</v>
      </c>
    </row>
    <row r="77" ht="15.0" customHeight="1">
      <c r="B77" s="106" t="s">
        <v>478</v>
      </c>
      <c r="C77" s="394">
        <v>570.0</v>
      </c>
      <c r="D77" s="394">
        <v>670.0</v>
      </c>
      <c r="E77" s="394">
        <v>840.0</v>
      </c>
      <c r="F77" s="394">
        <v>1047.0</v>
      </c>
      <c r="G77" s="394">
        <v>1441.0</v>
      </c>
      <c r="H77" s="394">
        <v>1756.0</v>
      </c>
      <c r="I77" s="394">
        <v>1916.0</v>
      </c>
      <c r="J77" s="394">
        <v>2071.0</v>
      </c>
      <c r="K77" s="394">
        <v>1672.0</v>
      </c>
      <c r="L77" s="394">
        <v>1450.0</v>
      </c>
      <c r="M77" s="394">
        <v>989.0</v>
      </c>
      <c r="N77" s="394">
        <v>703.0</v>
      </c>
    </row>
    <row r="78" ht="15.0" customHeight="1">
      <c r="B78" s="106" t="s">
        <v>479</v>
      </c>
      <c r="C78" s="394">
        <v>855.0</v>
      </c>
      <c r="D78" s="394">
        <v>869.0</v>
      </c>
      <c r="E78" s="394">
        <v>903.0</v>
      </c>
      <c r="F78" s="394">
        <v>1098.0</v>
      </c>
      <c r="G78" s="394">
        <v>1422.0</v>
      </c>
      <c r="H78" s="394">
        <v>1825.0</v>
      </c>
      <c r="I78" s="394">
        <v>1858.0</v>
      </c>
      <c r="J78" s="394">
        <v>2056.0</v>
      </c>
      <c r="K78" s="394">
        <v>1808.0</v>
      </c>
      <c r="L78" s="394">
        <v>1438.0</v>
      </c>
      <c r="M78" s="394">
        <v>1210.0</v>
      </c>
      <c r="N78" s="394">
        <v>924.0</v>
      </c>
    </row>
    <row r="79" ht="15.0" customHeight="1">
      <c r="B79" s="106" t="s">
        <v>480</v>
      </c>
      <c r="C79" s="394">
        <v>565.0</v>
      </c>
      <c r="D79" s="394">
        <v>633.0</v>
      </c>
      <c r="E79" s="394">
        <v>814.0</v>
      </c>
      <c r="F79" s="394">
        <v>1113.0</v>
      </c>
      <c r="G79" s="394">
        <v>1422.0</v>
      </c>
      <c r="H79" s="394">
        <v>1862.0</v>
      </c>
      <c r="I79" s="394">
        <v>2006.0</v>
      </c>
      <c r="J79" s="394">
        <v>1979.0</v>
      </c>
      <c r="K79" s="394">
        <v>1756.0</v>
      </c>
      <c r="L79" s="394">
        <v>1265.0</v>
      </c>
      <c r="M79" s="394">
        <v>928.0</v>
      </c>
      <c r="N79" s="394">
        <v>654.0</v>
      </c>
    </row>
    <row r="80" ht="15.0" customHeight="1">
      <c r="B80" s="106" t="s">
        <v>481</v>
      </c>
      <c r="C80" s="394">
        <v>761.0</v>
      </c>
      <c r="D80" s="394">
        <v>829.0</v>
      </c>
      <c r="E80" s="394">
        <v>888.0</v>
      </c>
      <c r="F80" s="394">
        <v>1117.0</v>
      </c>
      <c r="G80" s="394">
        <v>1523.0</v>
      </c>
      <c r="H80" s="394">
        <v>2068.0</v>
      </c>
      <c r="I80" s="394">
        <v>1973.0</v>
      </c>
      <c r="J80" s="394">
        <v>2171.0</v>
      </c>
      <c r="K80" s="394">
        <v>1786.0</v>
      </c>
      <c r="L80" s="394">
        <v>1382.0</v>
      </c>
      <c r="M80" s="394">
        <v>1105.0</v>
      </c>
      <c r="N80" s="394">
        <v>939.0</v>
      </c>
    </row>
    <row r="81" ht="15.0" customHeight="1">
      <c r="B81" s="106" t="s">
        <v>482</v>
      </c>
      <c r="C81" s="394">
        <v>1028.0</v>
      </c>
      <c r="D81" s="394">
        <v>999.0</v>
      </c>
      <c r="E81" s="394">
        <v>1033.0</v>
      </c>
      <c r="F81" s="394">
        <v>1200.0</v>
      </c>
      <c r="G81" s="394">
        <v>1487.0</v>
      </c>
      <c r="H81" s="394">
        <v>1698.0</v>
      </c>
      <c r="I81" s="394">
        <v>1800.0</v>
      </c>
      <c r="J81" s="394">
        <v>1989.0</v>
      </c>
      <c r="K81" s="394">
        <v>1825.0</v>
      </c>
      <c r="L81" s="394">
        <v>1527.0</v>
      </c>
      <c r="M81" s="394">
        <v>1343.0</v>
      </c>
      <c r="N81" s="394">
        <v>1105.0</v>
      </c>
    </row>
    <row r="82" ht="15.0" customHeight="1">
      <c r="B82" s="106" t="s">
        <v>483</v>
      </c>
      <c r="C82" s="394">
        <v>941.0</v>
      </c>
      <c r="D82" s="394">
        <v>975.0</v>
      </c>
      <c r="E82" s="394">
        <v>1017.0</v>
      </c>
      <c r="F82" s="394">
        <v>1192.0</v>
      </c>
      <c r="G82" s="394">
        <v>1490.0</v>
      </c>
      <c r="H82" s="394">
        <v>1747.0</v>
      </c>
      <c r="I82" s="394">
        <v>2040.0</v>
      </c>
      <c r="J82" s="394">
        <v>2008.0</v>
      </c>
      <c r="K82" s="394">
        <v>1903.0</v>
      </c>
      <c r="L82" s="394">
        <v>1607.0</v>
      </c>
      <c r="M82" s="394">
        <v>1288.0</v>
      </c>
      <c r="N82" s="394">
        <v>1044.0</v>
      </c>
    </row>
    <row r="83" ht="15.0" customHeight="1">
      <c r="B83" s="106" t="s">
        <v>484</v>
      </c>
      <c r="C83" s="394">
        <v>714.0</v>
      </c>
      <c r="D83" s="394">
        <v>735.0</v>
      </c>
      <c r="E83" s="394">
        <v>848.0</v>
      </c>
      <c r="F83" s="394">
        <v>1037.0</v>
      </c>
      <c r="G83" s="394">
        <v>1334.0</v>
      </c>
      <c r="H83" s="394">
        <v>1759.0</v>
      </c>
      <c r="I83" s="394">
        <v>1963.0</v>
      </c>
      <c r="J83" s="394">
        <v>1972.0</v>
      </c>
      <c r="K83" s="394">
        <v>1765.0</v>
      </c>
      <c r="L83" s="394">
        <v>1305.0</v>
      </c>
      <c r="M83" s="394">
        <v>1020.0</v>
      </c>
      <c r="N83" s="394">
        <v>785.0</v>
      </c>
    </row>
    <row r="84" ht="15.0" customHeight="1">
      <c r="B84" s="106" t="s">
        <v>485</v>
      </c>
      <c r="C84" s="394">
        <v>1169.0</v>
      </c>
      <c r="D84" s="394">
        <v>1195.0</v>
      </c>
      <c r="E84" s="394">
        <v>1249.0</v>
      </c>
      <c r="F84" s="394">
        <v>1394.0</v>
      </c>
      <c r="G84" s="394">
        <v>1531.0</v>
      </c>
      <c r="H84" s="394">
        <v>2014.0</v>
      </c>
      <c r="I84" s="394">
        <v>2400.0</v>
      </c>
      <c r="J84" s="394">
        <v>2180.0</v>
      </c>
      <c r="K84" s="394">
        <v>2229.0</v>
      </c>
      <c r="L84" s="394">
        <v>1917.0</v>
      </c>
      <c r="M84" s="394">
        <v>1596.0</v>
      </c>
      <c r="N84" s="394">
        <v>1148.0</v>
      </c>
    </row>
    <row r="85" ht="15.0" customHeight="1">
      <c r="B85" s="106" t="s">
        <v>486</v>
      </c>
      <c r="C85" s="394">
        <v>531.0</v>
      </c>
      <c r="D85" s="394">
        <v>618.0</v>
      </c>
      <c r="E85" s="394">
        <v>798.0</v>
      </c>
      <c r="F85" s="394">
        <v>1053.0</v>
      </c>
      <c r="G85" s="394">
        <v>1314.0</v>
      </c>
      <c r="H85" s="394">
        <v>1655.0</v>
      </c>
      <c r="I85" s="394">
        <v>1818.0</v>
      </c>
      <c r="J85" s="394">
        <v>1804.0</v>
      </c>
      <c r="K85" s="394">
        <v>1568.0</v>
      </c>
      <c r="L85" s="394">
        <v>1159.0</v>
      </c>
      <c r="M85" s="394">
        <v>847.0</v>
      </c>
      <c r="N85" s="394">
        <v>591.0</v>
      </c>
    </row>
    <row r="86" ht="15.0" customHeight="1">
      <c r="B86" s="106" t="s">
        <v>487</v>
      </c>
      <c r="C86" s="394">
        <v>795.0</v>
      </c>
      <c r="D86" s="394">
        <v>812.0</v>
      </c>
      <c r="E86" s="394">
        <v>903.0</v>
      </c>
      <c r="F86" s="394">
        <v>1113.0</v>
      </c>
      <c r="G86" s="394">
        <v>1361.0</v>
      </c>
      <c r="H86" s="394">
        <v>1748.0</v>
      </c>
      <c r="I86" s="394">
        <v>1946.0</v>
      </c>
      <c r="J86" s="394">
        <v>1972.0</v>
      </c>
      <c r="K86" s="394">
        <v>1859.0</v>
      </c>
      <c r="L86" s="394">
        <v>1425.0</v>
      </c>
      <c r="M86" s="394">
        <v>1133.0</v>
      </c>
      <c r="N86" s="394">
        <v>889.0</v>
      </c>
    </row>
    <row r="87" ht="15.0" customHeight="1">
      <c r="B87" s="106" t="s">
        <v>488</v>
      </c>
      <c r="C87" s="394">
        <v>913.0</v>
      </c>
      <c r="D87" s="394">
        <v>912.0</v>
      </c>
      <c r="E87" s="394">
        <v>1041.0</v>
      </c>
      <c r="F87" s="394">
        <v>1231.0</v>
      </c>
      <c r="G87" s="394">
        <v>1366.0</v>
      </c>
      <c r="H87" s="394">
        <v>1700.0</v>
      </c>
      <c r="I87" s="394">
        <v>1950.0</v>
      </c>
      <c r="J87" s="394">
        <v>2074.0</v>
      </c>
      <c r="K87" s="394">
        <v>1924.0</v>
      </c>
      <c r="L87" s="394">
        <v>1407.0</v>
      </c>
      <c r="M87" s="394">
        <v>1305.0</v>
      </c>
      <c r="N87" s="394">
        <v>1077.0</v>
      </c>
    </row>
    <row r="88" ht="15.0" customHeight="1">
      <c r="B88" s="106" t="s">
        <v>489</v>
      </c>
      <c r="C88" s="394">
        <v>727.0</v>
      </c>
      <c r="D88" s="394">
        <v>745.0</v>
      </c>
      <c r="E88" s="394">
        <v>842.0</v>
      </c>
      <c r="F88" s="394">
        <v>1068.0</v>
      </c>
      <c r="G88" s="394">
        <v>1368.0</v>
      </c>
      <c r="H88" s="394">
        <v>1800.0</v>
      </c>
      <c r="I88" s="394">
        <v>1963.0</v>
      </c>
      <c r="J88" s="394">
        <v>1964.0</v>
      </c>
      <c r="K88" s="394">
        <v>1784.0</v>
      </c>
      <c r="L88" s="394">
        <v>1339.0</v>
      </c>
      <c r="M88" s="394">
        <v>1052.0</v>
      </c>
      <c r="N88" s="394">
        <v>813.0</v>
      </c>
    </row>
    <row r="89" ht="15.0" customHeight="1">
      <c r="B89" s="106" t="s">
        <v>490</v>
      </c>
      <c r="C89" s="394">
        <v>795.0</v>
      </c>
      <c r="D89" s="394">
        <v>827.0</v>
      </c>
      <c r="E89" s="394">
        <v>936.0</v>
      </c>
      <c r="F89" s="394">
        <v>1128.0</v>
      </c>
      <c r="G89" s="394">
        <v>1422.0</v>
      </c>
      <c r="H89" s="394">
        <v>1893.0</v>
      </c>
      <c r="I89" s="394">
        <v>2023.0</v>
      </c>
      <c r="J89" s="394">
        <v>2015.0</v>
      </c>
      <c r="K89" s="394">
        <v>1849.0</v>
      </c>
      <c r="L89" s="394">
        <v>1425.0</v>
      </c>
      <c r="M89" s="394">
        <v>1101.0</v>
      </c>
      <c r="N89" s="394">
        <v>813.0</v>
      </c>
    </row>
    <row r="90" ht="15.0" customHeight="1">
      <c r="B90" s="106" t="s">
        <v>283</v>
      </c>
      <c r="C90" s="394">
        <v>516.0</v>
      </c>
      <c r="D90" s="394">
        <v>606.0</v>
      </c>
      <c r="E90" s="394">
        <v>583.0</v>
      </c>
      <c r="F90" s="394">
        <v>804.0</v>
      </c>
      <c r="G90" s="394">
        <v>1235.0</v>
      </c>
      <c r="H90" s="394">
        <v>1702.0</v>
      </c>
      <c r="I90" s="394">
        <v>1837.0</v>
      </c>
      <c r="J90" s="394">
        <v>1953.0</v>
      </c>
      <c r="K90" s="394">
        <v>1504.0</v>
      </c>
      <c r="L90" s="394">
        <v>1180.0</v>
      </c>
      <c r="M90" s="394">
        <v>841.0</v>
      </c>
      <c r="N90" s="394">
        <v>606.0</v>
      </c>
    </row>
    <row r="91" ht="15.0" customHeight="1">
      <c r="B91" s="106" t="s">
        <v>491</v>
      </c>
      <c r="C91" s="394">
        <v>1110.0</v>
      </c>
      <c r="D91" s="394">
        <v>1147.0</v>
      </c>
      <c r="E91" s="394">
        <v>1132.0</v>
      </c>
      <c r="F91" s="394">
        <v>1228.0</v>
      </c>
      <c r="G91" s="394">
        <v>1517.0</v>
      </c>
      <c r="H91" s="394">
        <v>1894.0</v>
      </c>
      <c r="I91" s="394">
        <v>2247.0</v>
      </c>
      <c r="J91" s="394">
        <v>2532.0</v>
      </c>
      <c r="K91" s="394">
        <v>2412.0</v>
      </c>
      <c r="L91" s="394">
        <v>1707.0</v>
      </c>
      <c r="M91" s="394">
        <v>1417.0</v>
      </c>
      <c r="N91" s="394">
        <v>1028.0</v>
      </c>
    </row>
    <row r="92" ht="15.0" customHeight="1">
      <c r="B92" s="106" t="s">
        <v>492</v>
      </c>
      <c r="C92" s="394">
        <v>693.0</v>
      </c>
      <c r="D92" s="394">
        <v>812.0</v>
      </c>
      <c r="E92" s="394">
        <v>997.0</v>
      </c>
      <c r="F92" s="394">
        <v>1347.0</v>
      </c>
      <c r="G92" s="394">
        <v>1583.0</v>
      </c>
      <c r="H92" s="394">
        <v>2067.0</v>
      </c>
      <c r="I92" s="394">
        <v>2159.0</v>
      </c>
      <c r="J92" s="394">
        <v>2102.0</v>
      </c>
      <c r="K92" s="394">
        <v>1961.0</v>
      </c>
      <c r="L92" s="394">
        <v>1425.0</v>
      </c>
      <c r="M92" s="394">
        <v>1042.0</v>
      </c>
      <c r="N92" s="394">
        <v>772.0</v>
      </c>
    </row>
    <row r="93" ht="15.0" customHeight="1">
      <c r="B93" s="106" t="s">
        <v>493</v>
      </c>
      <c r="C93" s="394">
        <v>691.0</v>
      </c>
      <c r="D93" s="394">
        <v>627.0</v>
      </c>
      <c r="E93" s="394">
        <v>708.0</v>
      </c>
      <c r="F93" s="394">
        <v>997.0</v>
      </c>
      <c r="G93" s="394">
        <v>1390.0</v>
      </c>
      <c r="H93" s="394">
        <v>1686.0</v>
      </c>
      <c r="I93" s="394">
        <v>2045.0</v>
      </c>
      <c r="J93" s="394">
        <v>2046.0</v>
      </c>
      <c r="K93" s="394">
        <v>1706.0</v>
      </c>
      <c r="L93" s="394">
        <v>1106.0</v>
      </c>
      <c r="M93" s="394">
        <v>951.0</v>
      </c>
      <c r="N93" s="394">
        <v>673.0</v>
      </c>
    </row>
    <row r="94" ht="15.0" customHeight="1">
      <c r="B94" s="106" t="s">
        <v>494</v>
      </c>
      <c r="C94" s="394">
        <v>594.0</v>
      </c>
      <c r="D94" s="394">
        <v>732.0</v>
      </c>
      <c r="E94" s="394">
        <v>849.0</v>
      </c>
      <c r="F94" s="394">
        <v>955.0</v>
      </c>
      <c r="G94" s="394">
        <v>1309.0</v>
      </c>
      <c r="H94" s="394">
        <v>1745.0</v>
      </c>
      <c r="I94" s="394">
        <v>1738.0</v>
      </c>
      <c r="J94" s="394">
        <v>1692.0</v>
      </c>
      <c r="K94" s="394">
        <v>1788.0</v>
      </c>
      <c r="L94" s="394">
        <v>1413.0</v>
      </c>
      <c r="M94" s="394">
        <v>1010.0</v>
      </c>
      <c r="N94" s="394">
        <v>684.0</v>
      </c>
    </row>
    <row r="95" ht="15.0" customHeight="1">
      <c r="B95" s="106" t="s">
        <v>495</v>
      </c>
      <c r="C95" s="394">
        <v>592.0</v>
      </c>
      <c r="D95" s="394">
        <v>662.0</v>
      </c>
      <c r="E95" s="394">
        <v>750.0</v>
      </c>
      <c r="F95" s="394">
        <v>850.0</v>
      </c>
      <c r="G95" s="394">
        <v>1381.0</v>
      </c>
      <c r="H95" s="394">
        <v>1679.0</v>
      </c>
      <c r="I95" s="394">
        <v>1906.0</v>
      </c>
      <c r="J95" s="394">
        <v>2055.0</v>
      </c>
      <c r="K95" s="394">
        <v>1675.0</v>
      </c>
      <c r="L95" s="394">
        <v>1175.0</v>
      </c>
      <c r="M95" s="394">
        <v>977.0</v>
      </c>
      <c r="N95" s="394">
        <v>539.0</v>
      </c>
    </row>
    <row r="96" ht="15.0" customHeight="1">
      <c r="B96" s="106" t="s">
        <v>496</v>
      </c>
      <c r="C96" s="394">
        <v>488.0</v>
      </c>
      <c r="D96" s="394">
        <v>498.0</v>
      </c>
      <c r="E96" s="394">
        <v>688.0</v>
      </c>
      <c r="F96" s="394">
        <v>890.0</v>
      </c>
      <c r="G96" s="394">
        <v>1142.0</v>
      </c>
      <c r="H96" s="394">
        <v>1690.0</v>
      </c>
      <c r="I96" s="394">
        <v>1783.0</v>
      </c>
      <c r="J96" s="394">
        <v>1629.0</v>
      </c>
      <c r="K96" s="394">
        <v>1441.0</v>
      </c>
      <c r="L96" s="394">
        <v>1061.0</v>
      </c>
      <c r="M96" s="394">
        <v>859.0</v>
      </c>
      <c r="N96" s="394">
        <v>624.0</v>
      </c>
    </row>
    <row r="97" ht="15.0" customHeight="1">
      <c r="B97" s="106" t="s">
        <v>497</v>
      </c>
      <c r="C97" s="394">
        <v>642.0</v>
      </c>
      <c r="D97" s="394">
        <v>697.0</v>
      </c>
      <c r="E97" s="394">
        <v>832.0</v>
      </c>
      <c r="F97" s="394">
        <v>1050.0</v>
      </c>
      <c r="G97" s="394">
        <v>1669.0</v>
      </c>
      <c r="H97" s="394">
        <v>1930.0</v>
      </c>
      <c r="I97" s="394">
        <v>1983.0</v>
      </c>
      <c r="J97" s="394">
        <v>2106.0</v>
      </c>
      <c r="K97" s="394">
        <v>1841.0</v>
      </c>
      <c r="L97" s="394">
        <v>1382.0</v>
      </c>
      <c r="M97" s="394">
        <v>974.0</v>
      </c>
      <c r="N97" s="394">
        <v>696.0</v>
      </c>
    </row>
    <row r="98" ht="15.0" customHeight="1">
      <c r="B98" s="106" t="s">
        <v>498</v>
      </c>
      <c r="C98" s="394">
        <v>634.0</v>
      </c>
      <c r="D98" s="394">
        <v>682.0</v>
      </c>
      <c r="E98" s="394">
        <v>814.0</v>
      </c>
      <c r="F98" s="394">
        <v>1053.0</v>
      </c>
      <c r="G98" s="394">
        <v>1355.0</v>
      </c>
      <c r="H98" s="394">
        <v>1738.0</v>
      </c>
      <c r="I98" s="394">
        <v>1904.0</v>
      </c>
      <c r="J98" s="394">
        <v>1891.0</v>
      </c>
      <c r="K98" s="394">
        <v>1681.0</v>
      </c>
      <c r="L98" s="394">
        <v>1232.0</v>
      </c>
      <c r="M98" s="394">
        <v>928.0</v>
      </c>
      <c r="N98" s="394">
        <v>704.0</v>
      </c>
    </row>
    <row r="99" ht="15.0" customHeight="1">
      <c r="B99" s="106" t="s">
        <v>499</v>
      </c>
      <c r="C99" s="394">
        <v>518.0</v>
      </c>
      <c r="D99" s="394">
        <v>599.0</v>
      </c>
      <c r="E99" s="394">
        <v>770.0</v>
      </c>
      <c r="F99" s="394">
        <v>1045.0</v>
      </c>
      <c r="G99" s="394">
        <v>1395.0</v>
      </c>
      <c r="H99" s="394">
        <v>1831.0</v>
      </c>
      <c r="I99" s="394">
        <v>1946.0</v>
      </c>
      <c r="J99" s="394">
        <v>1906.0</v>
      </c>
      <c r="K99" s="394">
        <v>1624.0</v>
      </c>
      <c r="L99" s="394">
        <v>1179.0</v>
      </c>
      <c r="M99" s="394">
        <v>842.0</v>
      </c>
      <c r="N99" s="394">
        <v>595.0</v>
      </c>
    </row>
    <row r="100" ht="15.0" customHeight="1">
      <c r="B100" s="106" t="s">
        <v>500</v>
      </c>
      <c r="C100" s="394">
        <v>594.0</v>
      </c>
      <c r="D100" s="394">
        <v>545.0</v>
      </c>
      <c r="E100" s="394">
        <v>812.0</v>
      </c>
      <c r="F100" s="394">
        <v>978.0</v>
      </c>
      <c r="G100" s="394">
        <v>1332.0</v>
      </c>
      <c r="H100" s="394">
        <v>1757.0</v>
      </c>
      <c r="I100" s="394">
        <v>2049.0</v>
      </c>
      <c r="J100" s="394">
        <v>1892.0</v>
      </c>
      <c r="K100" s="394">
        <v>1628.0</v>
      </c>
      <c r="L100" s="394">
        <v>1191.0</v>
      </c>
      <c r="M100" s="394">
        <v>963.0</v>
      </c>
      <c r="N100" s="394">
        <v>685.0</v>
      </c>
    </row>
    <row r="101" ht="15.0" customHeight="1">
      <c r="B101" s="106" t="s">
        <v>501</v>
      </c>
      <c r="C101" s="394">
        <v>695.0</v>
      </c>
      <c r="D101" s="394">
        <v>628.0</v>
      </c>
      <c r="E101" s="394">
        <v>699.0</v>
      </c>
      <c r="F101" s="394">
        <v>997.0</v>
      </c>
      <c r="G101" s="394">
        <v>1342.0</v>
      </c>
      <c r="H101" s="394">
        <v>1492.0</v>
      </c>
      <c r="I101" s="394">
        <v>1738.0</v>
      </c>
      <c r="J101" s="394">
        <v>2100.0</v>
      </c>
      <c r="K101" s="394">
        <v>1492.0</v>
      </c>
      <c r="L101" s="394">
        <v>1169.0</v>
      </c>
      <c r="M101" s="394">
        <v>898.0</v>
      </c>
      <c r="N101" s="394">
        <v>644.0</v>
      </c>
    </row>
    <row r="102" ht="15.0" customHeight="1">
      <c r="B102" s="106" t="s">
        <v>502</v>
      </c>
      <c r="C102" s="394">
        <v>753.0</v>
      </c>
      <c r="D102" s="394">
        <v>779.0</v>
      </c>
      <c r="E102" s="394">
        <v>864.0</v>
      </c>
      <c r="F102" s="394">
        <v>1060.0</v>
      </c>
      <c r="G102" s="394">
        <v>1375.0</v>
      </c>
      <c r="H102" s="394">
        <v>1841.0</v>
      </c>
      <c r="I102" s="394">
        <v>2031.0</v>
      </c>
      <c r="J102" s="394">
        <v>1993.0</v>
      </c>
      <c r="K102" s="394">
        <v>1812.0</v>
      </c>
      <c r="L102" s="394">
        <v>1392.0</v>
      </c>
      <c r="M102" s="394">
        <v>1101.0</v>
      </c>
      <c r="N102" s="394">
        <v>853.0</v>
      </c>
    </row>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5"/>
    <col customWidth="1" min="6" max="6" width="28.0"/>
    <col customWidth="1" min="7" max="7" width="22.5"/>
    <col customWidth="1" min="8" max="8" width="29.13"/>
    <col customWidth="1" min="9" max="26" width="8.0"/>
  </cols>
  <sheetData>
    <row r="1" ht="12.75" customHeight="1">
      <c r="A1" s="396"/>
      <c r="B1" s="396"/>
      <c r="C1" s="396"/>
      <c r="D1" s="396"/>
      <c r="E1" s="396"/>
      <c r="F1" s="396"/>
      <c r="G1" s="396"/>
      <c r="H1" s="396"/>
      <c r="I1" s="396"/>
      <c r="J1" s="396"/>
      <c r="K1" s="396"/>
      <c r="L1" s="396"/>
      <c r="M1" s="396"/>
      <c r="N1" s="396"/>
      <c r="O1" s="396"/>
      <c r="P1" s="396"/>
      <c r="Q1" s="396"/>
      <c r="R1" s="396"/>
      <c r="S1" s="396"/>
      <c r="T1" s="396"/>
      <c r="U1" s="396"/>
      <c r="V1" s="396"/>
      <c r="W1" s="396"/>
      <c r="X1" s="396"/>
      <c r="Y1" s="396"/>
      <c r="Z1" s="396"/>
    </row>
    <row r="2" ht="19.5" customHeight="1">
      <c r="A2" s="396"/>
      <c r="B2" s="397" t="s">
        <v>503</v>
      </c>
      <c r="C2" s="398" t="s">
        <v>504</v>
      </c>
      <c r="D2" s="398" t="s">
        <v>505</v>
      </c>
      <c r="E2" s="398" t="s">
        <v>506</v>
      </c>
      <c r="F2" s="398" t="s">
        <v>507</v>
      </c>
      <c r="G2" s="399" t="s">
        <v>508</v>
      </c>
      <c r="H2" s="400" t="s">
        <v>509</v>
      </c>
      <c r="I2" s="396"/>
      <c r="J2" s="396"/>
      <c r="K2" s="396"/>
      <c r="L2" s="396"/>
      <c r="M2" s="396"/>
      <c r="N2" s="396"/>
      <c r="O2" s="396"/>
      <c r="P2" s="396"/>
      <c r="Q2" s="396"/>
      <c r="R2" s="396"/>
      <c r="S2" s="396"/>
      <c r="T2" s="396"/>
      <c r="U2" s="396"/>
      <c r="V2" s="396"/>
      <c r="W2" s="396"/>
      <c r="X2" s="396"/>
      <c r="Y2" s="396"/>
      <c r="Z2" s="396"/>
    </row>
    <row r="3" ht="12.75" customHeight="1">
      <c r="A3" s="396"/>
      <c r="B3" s="401" t="s">
        <v>510</v>
      </c>
      <c r="C3" s="402" t="s">
        <v>511</v>
      </c>
      <c r="D3" s="403">
        <v>1.3</v>
      </c>
      <c r="E3" s="404">
        <v>1000.0</v>
      </c>
      <c r="F3" s="403">
        <v>0.026</v>
      </c>
      <c r="G3" s="405">
        <v>200.0</v>
      </c>
      <c r="H3" s="406">
        <f t="shared" ref="H3:H216" si="1">IF(G3="","",200/G3)</f>
        <v>1</v>
      </c>
      <c r="I3" s="396"/>
      <c r="J3" s="396"/>
      <c r="K3" s="396"/>
      <c r="L3" s="396"/>
      <c r="M3" s="396"/>
      <c r="N3" s="396"/>
      <c r="O3" s="396"/>
      <c r="P3" s="396"/>
      <c r="Q3" s="396"/>
      <c r="R3" s="396"/>
      <c r="S3" s="396"/>
      <c r="T3" s="396"/>
      <c r="U3" s="396"/>
      <c r="V3" s="396"/>
      <c r="W3" s="396"/>
      <c r="X3" s="396"/>
      <c r="Y3" s="396"/>
      <c r="Z3" s="396"/>
    </row>
    <row r="4" ht="12.75" customHeight="1">
      <c r="A4" s="396"/>
      <c r="B4" s="407" t="s">
        <v>512</v>
      </c>
      <c r="C4" s="408" t="s">
        <v>513</v>
      </c>
      <c r="D4" s="409">
        <v>2000.0</v>
      </c>
      <c r="E4" s="410">
        <v>880.0</v>
      </c>
      <c r="F4" s="409">
        <v>1.16</v>
      </c>
      <c r="G4" s="411">
        <v>2.9</v>
      </c>
      <c r="H4" s="412">
        <f t="shared" si="1"/>
        <v>68.96551724</v>
      </c>
      <c r="I4" s="396"/>
      <c r="J4" s="396"/>
      <c r="K4" s="396"/>
      <c r="L4" s="396"/>
      <c r="M4" s="396"/>
      <c r="N4" s="396"/>
      <c r="O4" s="396"/>
      <c r="P4" s="396"/>
      <c r="Q4" s="396"/>
      <c r="R4" s="396"/>
      <c r="S4" s="396"/>
      <c r="T4" s="396"/>
      <c r="U4" s="396"/>
      <c r="V4" s="396"/>
      <c r="W4" s="396"/>
      <c r="X4" s="396"/>
      <c r="Y4" s="396"/>
      <c r="Z4" s="396"/>
    </row>
    <row r="5" ht="12.75" customHeight="1">
      <c r="A5" s="396"/>
      <c r="B5" s="407" t="s">
        <v>512</v>
      </c>
      <c r="C5" s="408" t="s">
        <v>513</v>
      </c>
      <c r="D5" s="409">
        <v>2200.0</v>
      </c>
      <c r="E5" s="410">
        <v>880.0</v>
      </c>
      <c r="F5" s="409">
        <v>1.48</v>
      </c>
      <c r="G5" s="411">
        <v>2.9</v>
      </c>
      <c r="H5" s="412">
        <f t="shared" si="1"/>
        <v>68.96551724</v>
      </c>
      <c r="I5" s="396"/>
      <c r="J5" s="396"/>
      <c r="K5" s="396"/>
      <c r="L5" s="396"/>
      <c r="M5" s="396"/>
      <c r="N5" s="396"/>
      <c r="O5" s="396"/>
      <c r="P5" s="396"/>
      <c r="Q5" s="396"/>
      <c r="R5" s="396"/>
      <c r="S5" s="396"/>
      <c r="T5" s="396"/>
      <c r="U5" s="396"/>
      <c r="V5" s="396"/>
      <c r="W5" s="396"/>
      <c r="X5" s="396"/>
      <c r="Y5" s="396"/>
      <c r="Z5" s="396"/>
    </row>
    <row r="6" ht="12.75" customHeight="1">
      <c r="A6" s="396"/>
      <c r="B6" s="407" t="s">
        <v>512</v>
      </c>
      <c r="C6" s="408" t="s">
        <v>513</v>
      </c>
      <c r="D6" s="409">
        <v>2400.0</v>
      </c>
      <c r="E6" s="410">
        <v>880.0</v>
      </c>
      <c r="F6" s="409">
        <v>1.91</v>
      </c>
      <c r="G6" s="411">
        <v>2.9</v>
      </c>
      <c r="H6" s="412">
        <f t="shared" si="1"/>
        <v>68.96551724</v>
      </c>
      <c r="I6" s="396"/>
      <c r="J6" s="396"/>
      <c r="K6" s="396"/>
      <c r="L6" s="396"/>
      <c r="M6" s="396"/>
      <c r="N6" s="396"/>
      <c r="O6" s="396"/>
      <c r="P6" s="396"/>
      <c r="Q6" s="396"/>
      <c r="R6" s="396"/>
      <c r="S6" s="396"/>
      <c r="T6" s="396"/>
      <c r="U6" s="396"/>
      <c r="V6" s="396"/>
      <c r="W6" s="396"/>
      <c r="X6" s="396"/>
      <c r="Y6" s="396"/>
      <c r="Z6" s="396"/>
    </row>
    <row r="7" ht="12.75" customHeight="1">
      <c r="A7" s="396"/>
      <c r="B7" s="407" t="s">
        <v>512</v>
      </c>
      <c r="C7" s="408" t="s">
        <v>514</v>
      </c>
      <c r="D7" s="409">
        <v>1000.0</v>
      </c>
      <c r="E7" s="410">
        <v>880.0</v>
      </c>
      <c r="F7" s="409">
        <v>0.31</v>
      </c>
      <c r="G7" s="411">
        <v>2.9</v>
      </c>
      <c r="H7" s="412">
        <f t="shared" si="1"/>
        <v>68.96551724</v>
      </c>
      <c r="I7" s="396"/>
      <c r="J7" s="396"/>
      <c r="K7" s="396"/>
      <c r="L7" s="396"/>
      <c r="M7" s="396"/>
      <c r="N7" s="396"/>
      <c r="O7" s="396"/>
      <c r="P7" s="396"/>
      <c r="Q7" s="396"/>
      <c r="R7" s="396"/>
      <c r="S7" s="396"/>
      <c r="T7" s="396"/>
      <c r="U7" s="396"/>
      <c r="V7" s="396"/>
      <c r="W7" s="396"/>
      <c r="X7" s="396"/>
      <c r="Y7" s="396"/>
      <c r="Z7" s="396"/>
    </row>
    <row r="8" ht="12.75" customHeight="1">
      <c r="A8" s="396"/>
      <c r="B8" s="407" t="s">
        <v>512</v>
      </c>
      <c r="C8" s="408" t="s">
        <v>514</v>
      </c>
      <c r="D8" s="409">
        <v>1100.0</v>
      </c>
      <c r="E8" s="410">
        <v>880.0</v>
      </c>
      <c r="F8" s="409">
        <v>0.35</v>
      </c>
      <c r="G8" s="411">
        <v>2.9</v>
      </c>
      <c r="H8" s="412">
        <f t="shared" si="1"/>
        <v>68.96551724</v>
      </c>
      <c r="I8" s="396"/>
      <c r="J8" s="396"/>
      <c r="K8" s="396"/>
      <c r="L8" s="396"/>
      <c r="M8" s="396"/>
      <c r="N8" s="396"/>
      <c r="O8" s="396"/>
      <c r="P8" s="396"/>
      <c r="Q8" s="396"/>
      <c r="R8" s="396"/>
      <c r="S8" s="396"/>
      <c r="T8" s="396"/>
      <c r="U8" s="396"/>
      <c r="V8" s="396"/>
      <c r="W8" s="396"/>
      <c r="X8" s="396"/>
      <c r="Y8" s="396"/>
      <c r="Z8" s="396"/>
    </row>
    <row r="9" ht="12.75" customHeight="1">
      <c r="A9" s="396"/>
      <c r="B9" s="407" t="s">
        <v>512</v>
      </c>
      <c r="C9" s="408" t="s">
        <v>514</v>
      </c>
      <c r="D9" s="409">
        <v>1200.0</v>
      </c>
      <c r="E9" s="410">
        <v>880.0</v>
      </c>
      <c r="F9" s="409">
        <v>0.39</v>
      </c>
      <c r="G9" s="411">
        <v>2.9</v>
      </c>
      <c r="H9" s="412">
        <f t="shared" si="1"/>
        <v>68.96551724</v>
      </c>
      <c r="I9" s="396"/>
      <c r="J9" s="396"/>
      <c r="K9" s="396"/>
      <c r="L9" s="396"/>
      <c r="M9" s="396"/>
      <c r="N9" s="396"/>
      <c r="O9" s="396"/>
      <c r="P9" s="396"/>
      <c r="Q9" s="396"/>
      <c r="R9" s="396"/>
      <c r="S9" s="396"/>
      <c r="T9" s="396"/>
      <c r="U9" s="396"/>
      <c r="V9" s="396"/>
      <c r="W9" s="396"/>
      <c r="X9" s="396"/>
      <c r="Y9" s="396"/>
      <c r="Z9" s="396"/>
    </row>
    <row r="10" ht="12.75" customHeight="1">
      <c r="A10" s="396"/>
      <c r="B10" s="407" t="s">
        <v>512</v>
      </c>
      <c r="C10" s="408" t="s">
        <v>514</v>
      </c>
      <c r="D10" s="409">
        <v>1300.0</v>
      </c>
      <c r="E10" s="410">
        <v>880.0</v>
      </c>
      <c r="F10" s="409">
        <v>0.44</v>
      </c>
      <c r="G10" s="411">
        <v>2.9</v>
      </c>
      <c r="H10" s="412">
        <f t="shared" si="1"/>
        <v>68.96551724</v>
      </c>
      <c r="I10" s="396"/>
      <c r="J10" s="396"/>
      <c r="K10" s="396"/>
      <c r="L10" s="396"/>
      <c r="M10" s="396"/>
      <c r="N10" s="396"/>
      <c r="O10" s="396"/>
      <c r="P10" s="396"/>
      <c r="Q10" s="396"/>
      <c r="R10" s="396"/>
      <c r="S10" s="396"/>
      <c r="T10" s="396"/>
      <c r="U10" s="396"/>
      <c r="V10" s="396"/>
      <c r="W10" s="396"/>
      <c r="X10" s="396"/>
      <c r="Y10" s="396"/>
      <c r="Z10" s="396"/>
    </row>
    <row r="11" ht="12.75" customHeight="1">
      <c r="A11" s="396"/>
      <c r="B11" s="407" t="s">
        <v>512</v>
      </c>
      <c r="C11" s="408" t="s">
        <v>514</v>
      </c>
      <c r="D11" s="409">
        <v>1400.0</v>
      </c>
      <c r="E11" s="410">
        <v>880.0</v>
      </c>
      <c r="F11" s="413">
        <v>0.5</v>
      </c>
      <c r="G11" s="411">
        <v>2.9</v>
      </c>
      <c r="H11" s="412">
        <f t="shared" si="1"/>
        <v>68.96551724</v>
      </c>
      <c r="I11" s="396"/>
      <c r="J11" s="396"/>
      <c r="K11" s="396"/>
      <c r="L11" s="396"/>
      <c r="M11" s="396"/>
      <c r="N11" s="396"/>
      <c r="O11" s="396"/>
      <c r="P11" s="396"/>
      <c r="Q11" s="396"/>
      <c r="R11" s="396"/>
      <c r="S11" s="396"/>
      <c r="T11" s="396"/>
      <c r="U11" s="396"/>
      <c r="V11" s="396"/>
      <c r="W11" s="396"/>
      <c r="X11" s="396"/>
      <c r="Y11" s="396"/>
      <c r="Z11" s="396"/>
    </row>
    <row r="12" ht="12.75" customHeight="1">
      <c r="A12" s="396"/>
      <c r="B12" s="407" t="s">
        <v>512</v>
      </c>
      <c r="C12" s="408" t="s">
        <v>514</v>
      </c>
      <c r="D12" s="409">
        <v>1500.0</v>
      </c>
      <c r="E12" s="410">
        <v>880.0</v>
      </c>
      <c r="F12" s="409">
        <v>0.57</v>
      </c>
      <c r="G12" s="411">
        <v>2.9</v>
      </c>
      <c r="H12" s="412">
        <f t="shared" si="1"/>
        <v>68.96551724</v>
      </c>
      <c r="I12" s="396"/>
      <c r="J12" s="396"/>
      <c r="K12" s="396"/>
      <c r="L12" s="396"/>
      <c r="M12" s="396"/>
      <c r="N12" s="396"/>
      <c r="O12" s="396"/>
      <c r="P12" s="396"/>
      <c r="Q12" s="396"/>
      <c r="R12" s="396"/>
      <c r="S12" s="396"/>
      <c r="T12" s="396"/>
      <c r="U12" s="396"/>
      <c r="V12" s="396"/>
      <c r="W12" s="396"/>
      <c r="X12" s="396"/>
      <c r="Y12" s="396"/>
      <c r="Z12" s="396"/>
    </row>
    <row r="13" ht="12.75" customHeight="1">
      <c r="A13" s="396"/>
      <c r="B13" s="407" t="s">
        <v>512</v>
      </c>
      <c r="C13" s="408" t="s">
        <v>514</v>
      </c>
      <c r="D13" s="409">
        <v>1600.0</v>
      </c>
      <c r="E13" s="410">
        <v>880.0</v>
      </c>
      <c r="F13" s="409">
        <v>0.65</v>
      </c>
      <c r="G13" s="411">
        <v>2.9</v>
      </c>
      <c r="H13" s="412">
        <f t="shared" si="1"/>
        <v>68.96551724</v>
      </c>
      <c r="I13" s="396"/>
      <c r="J13" s="396"/>
      <c r="K13" s="396"/>
      <c r="L13" s="396"/>
      <c r="M13" s="396"/>
      <c r="N13" s="396"/>
      <c r="O13" s="396"/>
      <c r="P13" s="396"/>
      <c r="Q13" s="396"/>
      <c r="R13" s="396"/>
      <c r="S13" s="396"/>
      <c r="T13" s="396"/>
      <c r="U13" s="396"/>
      <c r="V13" s="396"/>
      <c r="W13" s="396"/>
      <c r="X13" s="396"/>
      <c r="Y13" s="396"/>
      <c r="Z13" s="396"/>
    </row>
    <row r="14" ht="12.75" customHeight="1">
      <c r="A14" s="396"/>
      <c r="B14" s="407" t="s">
        <v>512</v>
      </c>
      <c r="C14" s="408" t="s">
        <v>514</v>
      </c>
      <c r="D14" s="409">
        <v>1700.0</v>
      </c>
      <c r="E14" s="410">
        <v>880.0</v>
      </c>
      <c r="F14" s="409">
        <v>0.75</v>
      </c>
      <c r="G14" s="411">
        <v>2.9</v>
      </c>
      <c r="H14" s="412">
        <f t="shared" si="1"/>
        <v>68.96551724</v>
      </c>
      <c r="I14" s="396"/>
      <c r="J14" s="396"/>
      <c r="K14" s="396"/>
      <c r="L14" s="396"/>
      <c r="M14" s="396"/>
      <c r="N14" s="396"/>
      <c r="O14" s="396"/>
      <c r="P14" s="396"/>
      <c r="Q14" s="396"/>
      <c r="R14" s="396"/>
      <c r="S14" s="396"/>
      <c r="T14" s="396"/>
      <c r="U14" s="396"/>
      <c r="V14" s="396"/>
      <c r="W14" s="396"/>
      <c r="X14" s="396"/>
      <c r="Y14" s="396"/>
      <c r="Z14" s="396"/>
    </row>
    <row r="15" ht="12.75" customHeight="1">
      <c r="A15" s="396"/>
      <c r="B15" s="407" t="s">
        <v>512</v>
      </c>
      <c r="C15" s="408" t="s">
        <v>515</v>
      </c>
      <c r="D15" s="409">
        <v>500.0</v>
      </c>
      <c r="E15" s="410">
        <v>920.0</v>
      </c>
      <c r="F15" s="409">
        <v>0.16</v>
      </c>
      <c r="G15" s="411">
        <v>60.0</v>
      </c>
      <c r="H15" s="412">
        <f t="shared" si="1"/>
        <v>3.333333333</v>
      </c>
      <c r="I15" s="396"/>
      <c r="J15" s="396"/>
      <c r="K15" s="396"/>
      <c r="L15" s="396"/>
      <c r="M15" s="396"/>
      <c r="N15" s="396"/>
      <c r="O15" s="396"/>
      <c r="P15" s="396"/>
      <c r="Q15" s="396"/>
      <c r="R15" s="396"/>
      <c r="S15" s="396"/>
      <c r="T15" s="396"/>
      <c r="U15" s="396"/>
      <c r="V15" s="396"/>
      <c r="W15" s="396"/>
      <c r="X15" s="396"/>
      <c r="Y15" s="396"/>
      <c r="Z15" s="396"/>
    </row>
    <row r="16" ht="12.75" customHeight="1">
      <c r="A16" s="396"/>
      <c r="B16" s="407" t="s">
        <v>512</v>
      </c>
      <c r="C16" s="408" t="s">
        <v>515</v>
      </c>
      <c r="D16" s="409">
        <v>600.0</v>
      </c>
      <c r="E16" s="410">
        <v>920.0</v>
      </c>
      <c r="F16" s="409">
        <v>0.18</v>
      </c>
      <c r="G16" s="411">
        <v>60.0</v>
      </c>
      <c r="H16" s="412">
        <f t="shared" si="1"/>
        <v>3.333333333</v>
      </c>
      <c r="I16" s="396"/>
      <c r="J16" s="396"/>
      <c r="K16" s="396"/>
      <c r="L16" s="396"/>
      <c r="M16" s="396"/>
      <c r="N16" s="396"/>
      <c r="O16" s="396"/>
      <c r="P16" s="396"/>
      <c r="Q16" s="396"/>
      <c r="R16" s="396"/>
      <c r="S16" s="396"/>
      <c r="T16" s="396"/>
      <c r="U16" s="396"/>
      <c r="V16" s="396"/>
      <c r="W16" s="396"/>
      <c r="X16" s="396"/>
      <c r="Y16" s="396"/>
      <c r="Z16" s="396"/>
    </row>
    <row r="17" ht="12.75" customHeight="1">
      <c r="A17" s="396"/>
      <c r="B17" s="407" t="s">
        <v>512</v>
      </c>
      <c r="C17" s="408" t="s">
        <v>515</v>
      </c>
      <c r="D17" s="409">
        <v>700.0</v>
      </c>
      <c r="E17" s="410">
        <v>920.0</v>
      </c>
      <c r="F17" s="409">
        <v>0.21</v>
      </c>
      <c r="G17" s="411">
        <v>60.0</v>
      </c>
      <c r="H17" s="412">
        <f t="shared" si="1"/>
        <v>3.333333333</v>
      </c>
      <c r="I17" s="396"/>
      <c r="J17" s="396"/>
      <c r="K17" s="396"/>
      <c r="L17" s="396"/>
      <c r="M17" s="396"/>
      <c r="N17" s="396"/>
      <c r="O17" s="396"/>
      <c r="P17" s="396"/>
      <c r="Q17" s="396"/>
      <c r="R17" s="396"/>
      <c r="S17" s="396"/>
      <c r="T17" s="396"/>
      <c r="U17" s="396"/>
      <c r="V17" s="396"/>
      <c r="W17" s="396"/>
      <c r="X17" s="396"/>
      <c r="Y17" s="396"/>
      <c r="Z17" s="396"/>
    </row>
    <row r="18" ht="12.75" customHeight="1">
      <c r="A18" s="396"/>
      <c r="B18" s="407" t="s">
        <v>512</v>
      </c>
      <c r="C18" s="408" t="s">
        <v>515</v>
      </c>
      <c r="D18" s="409">
        <v>800.0</v>
      </c>
      <c r="E18" s="410">
        <v>920.0</v>
      </c>
      <c r="F18" s="409">
        <v>0.24</v>
      </c>
      <c r="G18" s="411">
        <v>60.0</v>
      </c>
      <c r="H18" s="412">
        <f t="shared" si="1"/>
        <v>3.333333333</v>
      </c>
      <c r="I18" s="396"/>
      <c r="J18" s="396"/>
      <c r="K18" s="396"/>
      <c r="L18" s="396"/>
      <c r="M18" s="396"/>
      <c r="N18" s="396"/>
      <c r="O18" s="396"/>
      <c r="P18" s="396"/>
      <c r="Q18" s="396"/>
      <c r="R18" s="396"/>
      <c r="S18" s="396"/>
      <c r="T18" s="396"/>
      <c r="U18" s="396"/>
      <c r="V18" s="396"/>
      <c r="W18" s="396"/>
      <c r="X18" s="396"/>
      <c r="Y18" s="396"/>
      <c r="Z18" s="396"/>
    </row>
    <row r="19" ht="12.75" customHeight="1">
      <c r="A19" s="396"/>
      <c r="B19" s="407" t="s">
        <v>512</v>
      </c>
      <c r="C19" s="408" t="s">
        <v>515</v>
      </c>
      <c r="D19" s="409">
        <v>900.0</v>
      </c>
      <c r="E19" s="410">
        <v>920.0</v>
      </c>
      <c r="F19" s="409">
        <v>0.27</v>
      </c>
      <c r="G19" s="411">
        <v>60.0</v>
      </c>
      <c r="H19" s="412">
        <f t="shared" si="1"/>
        <v>3.333333333</v>
      </c>
      <c r="I19" s="396"/>
      <c r="J19" s="396"/>
      <c r="K19" s="396"/>
      <c r="L19" s="396"/>
      <c r="M19" s="396"/>
      <c r="N19" s="396"/>
      <c r="O19" s="396"/>
      <c r="P19" s="396"/>
      <c r="Q19" s="396"/>
      <c r="R19" s="396"/>
      <c r="S19" s="396"/>
      <c r="T19" s="396"/>
      <c r="U19" s="396"/>
      <c r="V19" s="396"/>
      <c r="W19" s="396"/>
      <c r="X19" s="396"/>
      <c r="Y19" s="396"/>
      <c r="Z19" s="396"/>
    </row>
    <row r="20" ht="12.75" customHeight="1">
      <c r="A20" s="396"/>
      <c r="B20" s="407" t="s">
        <v>512</v>
      </c>
      <c r="C20" s="408" t="s">
        <v>515</v>
      </c>
      <c r="D20" s="409">
        <v>1000.0</v>
      </c>
      <c r="E20" s="410">
        <v>920.0</v>
      </c>
      <c r="F20" s="409">
        <v>0.31</v>
      </c>
      <c r="G20" s="411">
        <v>60.0</v>
      </c>
      <c r="H20" s="412">
        <f t="shared" si="1"/>
        <v>3.333333333</v>
      </c>
      <c r="I20" s="396"/>
      <c r="J20" s="396"/>
      <c r="K20" s="396"/>
      <c r="L20" s="396"/>
      <c r="M20" s="396"/>
      <c r="N20" s="396"/>
      <c r="O20" s="396"/>
      <c r="P20" s="396"/>
      <c r="Q20" s="396"/>
      <c r="R20" s="396"/>
      <c r="S20" s="396"/>
      <c r="T20" s="396"/>
      <c r="U20" s="396"/>
      <c r="V20" s="396"/>
      <c r="W20" s="396"/>
      <c r="X20" s="396"/>
      <c r="Y20" s="396"/>
      <c r="Z20" s="396"/>
    </row>
    <row r="21" ht="12.75" customHeight="1">
      <c r="A21" s="396"/>
      <c r="B21" s="407" t="s">
        <v>512</v>
      </c>
      <c r="C21" s="408" t="s">
        <v>516</v>
      </c>
      <c r="D21" s="409">
        <v>400.0</v>
      </c>
      <c r="E21" s="410">
        <v>840.0</v>
      </c>
      <c r="F21" s="409">
        <v>0.15</v>
      </c>
      <c r="G21" s="411">
        <v>50.0</v>
      </c>
      <c r="H21" s="412">
        <f t="shared" si="1"/>
        <v>4</v>
      </c>
      <c r="I21" s="396"/>
      <c r="J21" s="396"/>
      <c r="K21" s="396"/>
      <c r="L21" s="396"/>
      <c r="M21" s="396"/>
      <c r="N21" s="396"/>
      <c r="O21" s="396"/>
      <c r="P21" s="396"/>
      <c r="Q21" s="396"/>
      <c r="R21" s="396"/>
      <c r="S21" s="396"/>
      <c r="T21" s="396"/>
      <c r="U21" s="396"/>
      <c r="V21" s="396"/>
      <c r="W21" s="396"/>
      <c r="X21" s="396"/>
      <c r="Y21" s="396"/>
      <c r="Z21" s="396"/>
    </row>
    <row r="22" ht="12.75" customHeight="1">
      <c r="A22" s="396"/>
      <c r="B22" s="407" t="s">
        <v>512</v>
      </c>
      <c r="C22" s="408" t="s">
        <v>516</v>
      </c>
      <c r="D22" s="409">
        <v>500.0</v>
      </c>
      <c r="E22" s="410">
        <v>840.0</v>
      </c>
      <c r="F22" s="409">
        <v>0.17</v>
      </c>
      <c r="G22" s="411">
        <v>50.0</v>
      </c>
      <c r="H22" s="412">
        <f t="shared" si="1"/>
        <v>4</v>
      </c>
      <c r="I22" s="396"/>
      <c r="J22" s="396"/>
      <c r="K22" s="396"/>
      <c r="L22" s="396"/>
      <c r="M22" s="396"/>
      <c r="N22" s="396"/>
      <c r="O22" s="396"/>
      <c r="P22" s="396"/>
      <c r="Q22" s="396"/>
      <c r="R22" s="396"/>
      <c r="S22" s="396"/>
      <c r="T22" s="396"/>
      <c r="U22" s="396"/>
      <c r="V22" s="396"/>
      <c r="W22" s="396"/>
      <c r="X22" s="396"/>
      <c r="Y22" s="396"/>
      <c r="Z22" s="396"/>
    </row>
    <row r="23" ht="12.75" customHeight="1">
      <c r="A23" s="396"/>
      <c r="B23" s="407" t="s">
        <v>512</v>
      </c>
      <c r="C23" s="408" t="s">
        <v>516</v>
      </c>
      <c r="D23" s="409">
        <v>600.0</v>
      </c>
      <c r="E23" s="410">
        <v>840.0</v>
      </c>
      <c r="F23" s="409">
        <v>0.19</v>
      </c>
      <c r="G23" s="411">
        <v>50.0</v>
      </c>
      <c r="H23" s="412">
        <f t="shared" si="1"/>
        <v>4</v>
      </c>
      <c r="I23" s="396"/>
      <c r="J23" s="396"/>
      <c r="K23" s="396"/>
      <c r="L23" s="396"/>
      <c r="M23" s="396"/>
      <c r="N23" s="396"/>
      <c r="O23" s="396"/>
      <c r="P23" s="396"/>
      <c r="Q23" s="396"/>
      <c r="R23" s="396"/>
      <c r="S23" s="396"/>
      <c r="T23" s="396"/>
      <c r="U23" s="396"/>
      <c r="V23" s="396"/>
      <c r="W23" s="396"/>
      <c r="X23" s="396"/>
      <c r="Y23" s="396"/>
      <c r="Z23" s="396"/>
    </row>
    <row r="24" ht="12.75" customHeight="1">
      <c r="A24" s="396"/>
      <c r="B24" s="407" t="s">
        <v>512</v>
      </c>
      <c r="C24" s="408" t="s">
        <v>516</v>
      </c>
      <c r="D24" s="409">
        <v>700.0</v>
      </c>
      <c r="E24" s="410">
        <v>840.0</v>
      </c>
      <c r="F24" s="409">
        <v>0.22</v>
      </c>
      <c r="G24" s="411">
        <v>50.0</v>
      </c>
      <c r="H24" s="412">
        <f t="shared" si="1"/>
        <v>4</v>
      </c>
      <c r="I24" s="396"/>
      <c r="J24" s="396"/>
      <c r="K24" s="396"/>
      <c r="L24" s="396"/>
      <c r="M24" s="396"/>
      <c r="N24" s="396"/>
      <c r="O24" s="396"/>
      <c r="P24" s="396"/>
      <c r="Q24" s="396"/>
      <c r="R24" s="396"/>
      <c r="S24" s="396"/>
      <c r="T24" s="396"/>
      <c r="U24" s="396"/>
      <c r="V24" s="396"/>
      <c r="W24" s="396"/>
      <c r="X24" s="396"/>
      <c r="Y24" s="396"/>
      <c r="Z24" s="396"/>
    </row>
    <row r="25" ht="12.75" customHeight="1">
      <c r="A25" s="396"/>
      <c r="B25" s="407" t="s">
        <v>512</v>
      </c>
      <c r="C25" s="408" t="s">
        <v>516</v>
      </c>
      <c r="D25" s="409">
        <v>800.0</v>
      </c>
      <c r="E25" s="410">
        <v>840.0</v>
      </c>
      <c r="F25" s="409">
        <v>0.25</v>
      </c>
      <c r="G25" s="411">
        <v>50.0</v>
      </c>
      <c r="H25" s="412">
        <f t="shared" si="1"/>
        <v>4</v>
      </c>
      <c r="I25" s="396"/>
      <c r="J25" s="396"/>
      <c r="K25" s="396"/>
      <c r="L25" s="396"/>
      <c r="M25" s="396"/>
      <c r="N25" s="396"/>
      <c r="O25" s="396"/>
      <c r="P25" s="396"/>
      <c r="Q25" s="396"/>
      <c r="R25" s="396"/>
      <c r="S25" s="396"/>
      <c r="T25" s="396"/>
      <c r="U25" s="396"/>
      <c r="V25" s="396"/>
      <c r="W25" s="396"/>
      <c r="X25" s="396"/>
      <c r="Y25" s="396"/>
      <c r="Z25" s="396"/>
    </row>
    <row r="26" ht="12.75" customHeight="1">
      <c r="A26" s="396"/>
      <c r="B26" s="407" t="s">
        <v>512</v>
      </c>
      <c r="C26" s="408" t="s">
        <v>517</v>
      </c>
      <c r="D26" s="409">
        <v>1000.0</v>
      </c>
      <c r="E26" s="410">
        <v>1250.0</v>
      </c>
      <c r="F26" s="409">
        <v>0.38</v>
      </c>
      <c r="G26" s="414">
        <v>62.51</v>
      </c>
      <c r="H26" s="412">
        <f t="shared" si="1"/>
        <v>3.199488082</v>
      </c>
      <c r="I26" s="396"/>
      <c r="J26" s="396"/>
      <c r="K26" s="396"/>
      <c r="L26" s="396"/>
      <c r="M26" s="396"/>
      <c r="N26" s="396"/>
      <c r="O26" s="396"/>
      <c r="P26" s="396"/>
      <c r="Q26" s="396"/>
      <c r="R26" s="396"/>
      <c r="S26" s="396"/>
      <c r="T26" s="396"/>
      <c r="U26" s="396"/>
      <c r="V26" s="396"/>
      <c r="W26" s="396"/>
      <c r="X26" s="396"/>
      <c r="Y26" s="396"/>
      <c r="Z26" s="396"/>
    </row>
    <row r="27" ht="12.75" customHeight="1">
      <c r="A27" s="396"/>
      <c r="B27" s="407" t="s">
        <v>512</v>
      </c>
      <c r="C27" s="408" t="s">
        <v>517</v>
      </c>
      <c r="D27" s="409">
        <v>1200.0</v>
      </c>
      <c r="E27" s="410">
        <v>1250.0</v>
      </c>
      <c r="F27" s="409">
        <v>0.47</v>
      </c>
      <c r="G27" s="414">
        <v>62.51</v>
      </c>
      <c r="H27" s="412">
        <f t="shared" si="1"/>
        <v>3.199488082</v>
      </c>
      <c r="I27" s="396"/>
      <c r="J27" s="396"/>
      <c r="K27" s="396"/>
      <c r="L27" s="396"/>
      <c r="M27" s="396"/>
      <c r="N27" s="396"/>
      <c r="O27" s="396"/>
      <c r="P27" s="396"/>
      <c r="Q27" s="396"/>
      <c r="R27" s="396"/>
      <c r="S27" s="396"/>
      <c r="T27" s="396"/>
      <c r="U27" s="396"/>
      <c r="V27" s="396"/>
      <c r="W27" s="396"/>
      <c r="X27" s="396"/>
      <c r="Y27" s="396"/>
      <c r="Z27" s="396"/>
    </row>
    <row r="28" ht="12.75" customHeight="1">
      <c r="A28" s="396"/>
      <c r="B28" s="407" t="s">
        <v>512</v>
      </c>
      <c r="C28" s="408" t="s">
        <v>517</v>
      </c>
      <c r="D28" s="409">
        <v>1400.0</v>
      </c>
      <c r="E28" s="410">
        <v>1250.0</v>
      </c>
      <c r="F28" s="409">
        <v>0.58</v>
      </c>
      <c r="G28" s="414">
        <v>62.51</v>
      </c>
      <c r="H28" s="412">
        <f t="shared" si="1"/>
        <v>3.199488082</v>
      </c>
      <c r="I28" s="396"/>
      <c r="J28" s="396"/>
      <c r="K28" s="396"/>
      <c r="L28" s="396"/>
      <c r="M28" s="396"/>
      <c r="N28" s="396"/>
      <c r="O28" s="396"/>
      <c r="P28" s="396"/>
      <c r="Q28" s="396"/>
      <c r="R28" s="396"/>
      <c r="S28" s="396"/>
      <c r="T28" s="396"/>
      <c r="U28" s="396"/>
      <c r="V28" s="396"/>
      <c r="W28" s="396"/>
      <c r="X28" s="396"/>
      <c r="Y28" s="396"/>
      <c r="Z28" s="396"/>
    </row>
    <row r="29" ht="12.75" customHeight="1">
      <c r="A29" s="396"/>
      <c r="B29" s="407" t="s">
        <v>512</v>
      </c>
      <c r="C29" s="408" t="s">
        <v>518</v>
      </c>
      <c r="D29" s="409">
        <v>250.0</v>
      </c>
      <c r="E29" s="410">
        <v>840.0</v>
      </c>
      <c r="F29" s="409">
        <v>0.13</v>
      </c>
      <c r="G29" s="414">
        <v>62.51</v>
      </c>
      <c r="H29" s="412">
        <f t="shared" si="1"/>
        <v>3.199488082</v>
      </c>
      <c r="I29" s="396"/>
      <c r="J29" s="396"/>
      <c r="K29" s="396"/>
      <c r="L29" s="396"/>
      <c r="M29" s="396"/>
      <c r="N29" s="396"/>
      <c r="O29" s="396"/>
      <c r="P29" s="396"/>
      <c r="Q29" s="396"/>
      <c r="R29" s="396"/>
      <c r="S29" s="396"/>
      <c r="T29" s="396"/>
      <c r="U29" s="396"/>
      <c r="V29" s="396"/>
      <c r="W29" s="396"/>
      <c r="X29" s="396"/>
      <c r="Y29" s="396"/>
      <c r="Z29" s="396"/>
    </row>
    <row r="30" ht="12.75" customHeight="1">
      <c r="A30" s="396"/>
      <c r="B30" s="407" t="s">
        <v>512</v>
      </c>
      <c r="C30" s="408" t="s">
        <v>518</v>
      </c>
      <c r="D30" s="409">
        <v>400.0</v>
      </c>
      <c r="E30" s="410">
        <v>840.0</v>
      </c>
      <c r="F30" s="409">
        <v>0.15</v>
      </c>
      <c r="G30" s="414">
        <v>37.5</v>
      </c>
      <c r="H30" s="412">
        <f t="shared" si="1"/>
        <v>5.333333333</v>
      </c>
      <c r="I30" s="396"/>
      <c r="J30" s="396"/>
      <c r="K30" s="396"/>
      <c r="L30" s="396"/>
      <c r="M30" s="396"/>
      <c r="N30" s="396"/>
      <c r="O30" s="396"/>
      <c r="P30" s="396"/>
      <c r="Q30" s="396"/>
      <c r="R30" s="396"/>
      <c r="S30" s="396"/>
      <c r="T30" s="396"/>
      <c r="U30" s="396"/>
      <c r="V30" s="396"/>
      <c r="W30" s="396"/>
      <c r="X30" s="396"/>
      <c r="Y30" s="396"/>
      <c r="Z30" s="396"/>
    </row>
    <row r="31" ht="12.75" customHeight="1">
      <c r="A31" s="396"/>
      <c r="B31" s="415" t="s">
        <v>519</v>
      </c>
      <c r="C31" s="408" t="s">
        <v>520</v>
      </c>
      <c r="D31" s="409">
        <v>1000.0</v>
      </c>
      <c r="E31" s="410">
        <v>1300.0</v>
      </c>
      <c r="F31" s="409">
        <v>0.16</v>
      </c>
      <c r="G31" s="411">
        <v>1.5</v>
      </c>
      <c r="H31" s="412">
        <f t="shared" si="1"/>
        <v>133.3333333</v>
      </c>
      <c r="I31" s="396"/>
      <c r="J31" s="396"/>
      <c r="K31" s="396"/>
      <c r="L31" s="396"/>
      <c r="M31" s="396"/>
      <c r="N31" s="396"/>
      <c r="O31" s="396"/>
      <c r="P31" s="396"/>
      <c r="Q31" s="396"/>
      <c r="R31" s="396"/>
      <c r="S31" s="396"/>
      <c r="T31" s="396"/>
      <c r="U31" s="396"/>
      <c r="V31" s="396"/>
      <c r="W31" s="396"/>
      <c r="X31" s="396"/>
      <c r="Y31" s="396"/>
      <c r="Z31" s="396"/>
    </row>
    <row r="32" ht="12.75" customHeight="1">
      <c r="A32" s="396"/>
      <c r="B32" s="415" t="s">
        <v>519</v>
      </c>
      <c r="C32" s="408" t="s">
        <v>521</v>
      </c>
      <c r="D32" s="409">
        <v>1100.0</v>
      </c>
      <c r="E32" s="410">
        <v>1000.0</v>
      </c>
      <c r="F32" s="409">
        <v>0.23</v>
      </c>
      <c r="G32" s="416">
        <v>0.075</v>
      </c>
      <c r="H32" s="412">
        <f t="shared" si="1"/>
        <v>2666.666667</v>
      </c>
      <c r="I32" s="396"/>
      <c r="J32" s="396"/>
      <c r="K32" s="396"/>
      <c r="L32" s="396"/>
      <c r="M32" s="396"/>
      <c r="N32" s="396"/>
      <c r="O32" s="396"/>
      <c r="P32" s="396"/>
      <c r="Q32" s="396"/>
      <c r="R32" s="396"/>
      <c r="S32" s="396"/>
      <c r="T32" s="396"/>
      <c r="U32" s="396"/>
      <c r="V32" s="396"/>
      <c r="W32" s="396"/>
      <c r="X32" s="396"/>
      <c r="Y32" s="396"/>
      <c r="Z32" s="396"/>
    </row>
    <row r="33" ht="12.75" customHeight="1">
      <c r="A33" s="396"/>
      <c r="B33" s="415" t="s">
        <v>519</v>
      </c>
      <c r="C33" s="408" t="s">
        <v>522</v>
      </c>
      <c r="D33" s="409">
        <v>900.0</v>
      </c>
      <c r="E33" s="410">
        <v>1090.0</v>
      </c>
      <c r="F33" s="409">
        <v>0.21</v>
      </c>
      <c r="G33" s="411">
        <v>23.0</v>
      </c>
      <c r="H33" s="412">
        <f t="shared" si="1"/>
        <v>8.695652174</v>
      </c>
      <c r="I33" s="396"/>
      <c r="J33" s="396"/>
      <c r="K33" s="396"/>
      <c r="L33" s="396"/>
      <c r="M33" s="396"/>
      <c r="N33" s="396"/>
      <c r="O33" s="396"/>
      <c r="P33" s="396"/>
      <c r="Q33" s="396"/>
      <c r="R33" s="396"/>
      <c r="S33" s="396"/>
      <c r="T33" s="396"/>
      <c r="U33" s="396"/>
      <c r="V33" s="396"/>
      <c r="W33" s="396"/>
      <c r="X33" s="396"/>
      <c r="Y33" s="396"/>
      <c r="Z33" s="396"/>
    </row>
    <row r="34" ht="12.75" customHeight="1">
      <c r="A34" s="396"/>
      <c r="B34" s="415" t="s">
        <v>519</v>
      </c>
      <c r="C34" s="408" t="s">
        <v>523</v>
      </c>
      <c r="D34" s="409">
        <v>100.0</v>
      </c>
      <c r="E34" s="410">
        <v>1300.0</v>
      </c>
      <c r="F34" s="409">
        <v>0.065</v>
      </c>
      <c r="G34" s="411">
        <v>37.5</v>
      </c>
      <c r="H34" s="412">
        <f t="shared" si="1"/>
        <v>5.333333333</v>
      </c>
      <c r="I34" s="396"/>
      <c r="J34" s="396"/>
      <c r="K34" s="396"/>
      <c r="L34" s="396"/>
      <c r="M34" s="396"/>
      <c r="N34" s="396"/>
      <c r="O34" s="396"/>
      <c r="P34" s="396"/>
      <c r="Q34" s="396"/>
      <c r="R34" s="396"/>
      <c r="S34" s="396"/>
      <c r="T34" s="396"/>
      <c r="U34" s="396"/>
      <c r="V34" s="396"/>
      <c r="W34" s="396"/>
      <c r="X34" s="396"/>
      <c r="Y34" s="396"/>
      <c r="Z34" s="396"/>
    </row>
    <row r="35" ht="12.75" customHeight="1">
      <c r="A35" s="396"/>
      <c r="B35" s="415" t="s">
        <v>524</v>
      </c>
      <c r="C35" s="408" t="s">
        <v>525</v>
      </c>
      <c r="D35" s="409">
        <v>11.0</v>
      </c>
      <c r="E35" s="410">
        <v>840.0</v>
      </c>
      <c r="F35" s="409">
        <v>0.053</v>
      </c>
      <c r="G35" s="411">
        <v>150.0</v>
      </c>
      <c r="H35" s="412">
        <f t="shared" si="1"/>
        <v>1.333333333</v>
      </c>
      <c r="I35" s="396"/>
      <c r="J35" s="396"/>
      <c r="K35" s="396"/>
      <c r="L35" s="396"/>
      <c r="M35" s="396"/>
      <c r="N35" s="396"/>
      <c r="O35" s="396"/>
      <c r="P35" s="396"/>
      <c r="Q35" s="396"/>
      <c r="R35" s="396"/>
      <c r="S35" s="396"/>
      <c r="T35" s="396"/>
      <c r="U35" s="396"/>
      <c r="V35" s="396"/>
      <c r="W35" s="396"/>
      <c r="X35" s="396"/>
      <c r="Y35" s="396"/>
      <c r="Z35" s="396"/>
    </row>
    <row r="36" ht="12.75" customHeight="1">
      <c r="A36" s="396"/>
      <c r="B36" s="415" t="s">
        <v>524</v>
      </c>
      <c r="C36" s="408" t="s">
        <v>525</v>
      </c>
      <c r="D36" s="409">
        <v>14.0</v>
      </c>
      <c r="E36" s="410">
        <v>840.0</v>
      </c>
      <c r="F36" s="409">
        <v>0.048</v>
      </c>
      <c r="G36" s="411">
        <v>150.0</v>
      </c>
      <c r="H36" s="412">
        <f t="shared" si="1"/>
        <v>1.333333333</v>
      </c>
      <c r="I36" s="396"/>
      <c r="J36" s="396"/>
      <c r="K36" s="396"/>
      <c r="L36" s="396"/>
      <c r="M36" s="396"/>
      <c r="N36" s="396"/>
      <c r="O36" s="396"/>
      <c r="P36" s="396"/>
      <c r="Q36" s="396"/>
      <c r="R36" s="396"/>
      <c r="S36" s="396"/>
      <c r="T36" s="396"/>
      <c r="U36" s="396"/>
      <c r="V36" s="396"/>
      <c r="W36" s="396"/>
      <c r="X36" s="396"/>
      <c r="Y36" s="396"/>
      <c r="Z36" s="396"/>
    </row>
    <row r="37" ht="12.75" customHeight="1">
      <c r="A37" s="396"/>
      <c r="B37" s="415" t="s">
        <v>524</v>
      </c>
      <c r="C37" s="408" t="s">
        <v>525</v>
      </c>
      <c r="D37" s="409">
        <v>16.0</v>
      </c>
      <c r="E37" s="410">
        <v>840.0</v>
      </c>
      <c r="F37" s="409">
        <v>0.046</v>
      </c>
      <c r="G37" s="411">
        <v>150.0</v>
      </c>
      <c r="H37" s="412">
        <f t="shared" si="1"/>
        <v>1.333333333</v>
      </c>
      <c r="I37" s="396"/>
      <c r="J37" s="396"/>
      <c r="K37" s="396"/>
      <c r="L37" s="396"/>
      <c r="M37" s="396"/>
      <c r="N37" s="396"/>
      <c r="O37" s="396"/>
      <c r="P37" s="396"/>
      <c r="Q37" s="396"/>
      <c r="R37" s="396"/>
      <c r="S37" s="396"/>
      <c r="T37" s="396"/>
      <c r="U37" s="396"/>
      <c r="V37" s="396"/>
      <c r="W37" s="396"/>
      <c r="X37" s="396"/>
      <c r="Y37" s="396"/>
      <c r="Z37" s="396"/>
    </row>
    <row r="38" ht="12.75" customHeight="1">
      <c r="A38" s="396"/>
      <c r="B38" s="415" t="s">
        <v>524</v>
      </c>
      <c r="C38" s="408" t="s">
        <v>526</v>
      </c>
      <c r="D38" s="409">
        <v>16.0</v>
      </c>
      <c r="E38" s="410">
        <v>840.0</v>
      </c>
      <c r="F38" s="409">
        <v>0.046</v>
      </c>
      <c r="G38" s="411">
        <v>150.0</v>
      </c>
      <c r="H38" s="412">
        <f t="shared" si="1"/>
        <v>1.333333333</v>
      </c>
      <c r="I38" s="396"/>
      <c r="J38" s="396"/>
      <c r="K38" s="396"/>
      <c r="L38" s="396"/>
      <c r="M38" s="396"/>
      <c r="N38" s="396"/>
      <c r="O38" s="396"/>
      <c r="P38" s="396"/>
      <c r="Q38" s="396"/>
      <c r="R38" s="396"/>
      <c r="S38" s="396"/>
      <c r="T38" s="396"/>
      <c r="U38" s="396"/>
      <c r="V38" s="396"/>
      <c r="W38" s="396"/>
      <c r="X38" s="396"/>
      <c r="Y38" s="396"/>
      <c r="Z38" s="396"/>
    </row>
    <row r="39" ht="12.75" customHeight="1">
      <c r="A39" s="396"/>
      <c r="B39" s="415" t="s">
        <v>524</v>
      </c>
      <c r="C39" s="408" t="s">
        <v>526</v>
      </c>
      <c r="D39" s="409">
        <v>20.0</v>
      </c>
      <c r="E39" s="410">
        <v>840.0</v>
      </c>
      <c r="F39" s="409">
        <v>0.043</v>
      </c>
      <c r="G39" s="411">
        <v>150.0</v>
      </c>
      <c r="H39" s="412">
        <f t="shared" si="1"/>
        <v>1.333333333</v>
      </c>
      <c r="I39" s="396"/>
      <c r="J39" s="396"/>
      <c r="K39" s="396"/>
      <c r="L39" s="396"/>
      <c r="M39" s="396"/>
      <c r="N39" s="396"/>
      <c r="O39" s="396"/>
      <c r="P39" s="396"/>
      <c r="Q39" s="396"/>
      <c r="R39" s="396"/>
      <c r="S39" s="396"/>
      <c r="T39" s="396"/>
      <c r="U39" s="396"/>
      <c r="V39" s="396"/>
      <c r="W39" s="396"/>
      <c r="X39" s="396"/>
      <c r="Y39" s="396"/>
      <c r="Z39" s="396"/>
    </row>
    <row r="40" ht="12.75" customHeight="1">
      <c r="A40" s="396"/>
      <c r="B40" s="415" t="s">
        <v>524</v>
      </c>
      <c r="C40" s="408" t="s">
        <v>526</v>
      </c>
      <c r="D40" s="409">
        <v>30.0</v>
      </c>
      <c r="E40" s="410">
        <v>840.0</v>
      </c>
      <c r="F40" s="417">
        <v>0.04</v>
      </c>
      <c r="G40" s="411">
        <v>150.0</v>
      </c>
      <c r="H40" s="412">
        <f t="shared" si="1"/>
        <v>1.333333333</v>
      </c>
      <c r="I40" s="396"/>
      <c r="J40" s="396"/>
      <c r="K40" s="396"/>
      <c r="L40" s="396"/>
      <c r="M40" s="396"/>
      <c r="N40" s="396"/>
      <c r="O40" s="396"/>
      <c r="P40" s="396"/>
      <c r="Q40" s="396"/>
      <c r="R40" s="396"/>
      <c r="S40" s="396"/>
      <c r="T40" s="396"/>
      <c r="U40" s="396"/>
      <c r="V40" s="396"/>
      <c r="W40" s="396"/>
      <c r="X40" s="396"/>
      <c r="Y40" s="396"/>
      <c r="Z40" s="396"/>
    </row>
    <row r="41" ht="12.75" customHeight="1">
      <c r="A41" s="396"/>
      <c r="B41" s="415" t="s">
        <v>524</v>
      </c>
      <c r="C41" s="408" t="s">
        <v>527</v>
      </c>
      <c r="D41" s="409">
        <v>100.0</v>
      </c>
      <c r="E41" s="410">
        <v>840.0</v>
      </c>
      <c r="F41" s="409">
        <v>0.038</v>
      </c>
      <c r="G41" s="411">
        <v>150.0</v>
      </c>
      <c r="H41" s="412">
        <f t="shared" si="1"/>
        <v>1.333333333</v>
      </c>
      <c r="I41" s="396"/>
      <c r="J41" s="396"/>
      <c r="K41" s="396"/>
      <c r="L41" s="396"/>
      <c r="M41" s="396"/>
      <c r="N41" s="396"/>
      <c r="O41" s="396"/>
      <c r="P41" s="396"/>
      <c r="Q41" s="396"/>
      <c r="R41" s="396"/>
      <c r="S41" s="396"/>
      <c r="T41" s="396"/>
      <c r="U41" s="396"/>
      <c r="V41" s="396"/>
      <c r="W41" s="396"/>
      <c r="X41" s="396"/>
      <c r="Y41" s="396"/>
      <c r="Z41" s="396"/>
    </row>
    <row r="42" ht="12.75" customHeight="1">
      <c r="A42" s="396"/>
      <c r="B42" s="415" t="s">
        <v>524</v>
      </c>
      <c r="C42" s="408" t="s">
        <v>528</v>
      </c>
      <c r="D42" s="409">
        <v>30.0</v>
      </c>
      <c r="E42" s="410">
        <v>840.0</v>
      </c>
      <c r="F42" s="409">
        <v>0.045</v>
      </c>
      <c r="G42" s="411">
        <v>150.0</v>
      </c>
      <c r="H42" s="412">
        <f t="shared" si="1"/>
        <v>1.333333333</v>
      </c>
      <c r="I42" s="396"/>
      <c r="J42" s="396"/>
      <c r="K42" s="396"/>
      <c r="L42" s="396"/>
      <c r="M42" s="396"/>
      <c r="N42" s="396"/>
      <c r="O42" s="396"/>
      <c r="P42" s="396"/>
      <c r="Q42" s="396"/>
      <c r="R42" s="396"/>
      <c r="S42" s="396"/>
      <c r="T42" s="396"/>
      <c r="U42" s="396"/>
      <c r="V42" s="396"/>
      <c r="W42" s="396"/>
      <c r="X42" s="396"/>
      <c r="Y42" s="396"/>
      <c r="Z42" s="396"/>
    </row>
    <row r="43" ht="12.75" customHeight="1">
      <c r="A43" s="396"/>
      <c r="B43" s="415" t="s">
        <v>524</v>
      </c>
      <c r="C43" s="408" t="s">
        <v>528</v>
      </c>
      <c r="D43" s="409">
        <v>35.0</v>
      </c>
      <c r="E43" s="410">
        <v>840.0</v>
      </c>
      <c r="F43" s="409">
        <v>0.044</v>
      </c>
      <c r="G43" s="411">
        <v>150.0</v>
      </c>
      <c r="H43" s="412">
        <f t="shared" si="1"/>
        <v>1.333333333</v>
      </c>
      <c r="I43" s="396"/>
      <c r="J43" s="396"/>
      <c r="K43" s="396"/>
      <c r="L43" s="396"/>
      <c r="M43" s="396"/>
      <c r="N43" s="396"/>
      <c r="O43" s="396"/>
      <c r="P43" s="396"/>
      <c r="Q43" s="396"/>
      <c r="R43" s="396"/>
      <c r="S43" s="396"/>
      <c r="T43" s="396"/>
      <c r="U43" s="396"/>
      <c r="V43" s="396"/>
      <c r="W43" s="396"/>
      <c r="X43" s="396"/>
      <c r="Y43" s="396"/>
      <c r="Z43" s="396"/>
    </row>
    <row r="44" ht="12.75" customHeight="1">
      <c r="A44" s="396"/>
      <c r="B44" s="415" t="s">
        <v>524</v>
      </c>
      <c r="C44" s="408" t="s">
        <v>529</v>
      </c>
      <c r="D44" s="409">
        <v>40.0</v>
      </c>
      <c r="E44" s="410">
        <v>840.0</v>
      </c>
      <c r="F44" s="409">
        <v>0.042</v>
      </c>
      <c r="G44" s="411">
        <v>150.0</v>
      </c>
      <c r="H44" s="412">
        <f t="shared" si="1"/>
        <v>1.333333333</v>
      </c>
      <c r="I44" s="396"/>
      <c r="J44" s="396"/>
      <c r="K44" s="396"/>
      <c r="L44" s="396"/>
      <c r="M44" s="396"/>
      <c r="N44" s="396"/>
      <c r="O44" s="396"/>
      <c r="P44" s="396"/>
      <c r="Q44" s="396"/>
      <c r="R44" s="396"/>
      <c r="S44" s="396"/>
      <c r="T44" s="396"/>
      <c r="U44" s="396"/>
      <c r="V44" s="396"/>
      <c r="W44" s="396"/>
      <c r="X44" s="396"/>
      <c r="Y44" s="396"/>
      <c r="Z44" s="396"/>
    </row>
    <row r="45" ht="12.75" customHeight="1">
      <c r="A45" s="396"/>
      <c r="B45" s="415" t="s">
        <v>524</v>
      </c>
      <c r="C45" s="408" t="s">
        <v>529</v>
      </c>
      <c r="D45" s="409">
        <v>55.0</v>
      </c>
      <c r="E45" s="410">
        <v>840.0</v>
      </c>
      <c r="F45" s="417">
        <v>0.04</v>
      </c>
      <c r="G45" s="411">
        <v>150.0</v>
      </c>
      <c r="H45" s="412">
        <f t="shared" si="1"/>
        <v>1.333333333</v>
      </c>
      <c r="I45" s="396"/>
      <c r="J45" s="396"/>
      <c r="K45" s="396"/>
      <c r="L45" s="396"/>
      <c r="M45" s="396"/>
      <c r="N45" s="396"/>
      <c r="O45" s="396"/>
      <c r="P45" s="396"/>
      <c r="Q45" s="396"/>
      <c r="R45" s="396"/>
      <c r="S45" s="396"/>
      <c r="T45" s="396"/>
      <c r="U45" s="396"/>
      <c r="V45" s="396"/>
      <c r="W45" s="396"/>
      <c r="X45" s="396"/>
      <c r="Y45" s="396"/>
      <c r="Z45" s="396"/>
    </row>
    <row r="46" ht="12.75" customHeight="1">
      <c r="A46" s="396"/>
      <c r="B46" s="415" t="s">
        <v>524</v>
      </c>
      <c r="C46" s="408" t="s">
        <v>530</v>
      </c>
      <c r="D46" s="409">
        <v>80.0</v>
      </c>
      <c r="E46" s="410">
        <v>840.0</v>
      </c>
      <c r="F46" s="409">
        <v>0.039</v>
      </c>
      <c r="G46" s="411">
        <v>150.0</v>
      </c>
      <c r="H46" s="412">
        <f t="shared" si="1"/>
        <v>1.333333333</v>
      </c>
      <c r="I46" s="396"/>
      <c r="J46" s="396"/>
      <c r="K46" s="396"/>
      <c r="L46" s="396"/>
      <c r="M46" s="396"/>
      <c r="N46" s="396"/>
      <c r="O46" s="396"/>
      <c r="P46" s="396"/>
      <c r="Q46" s="396"/>
      <c r="R46" s="396"/>
      <c r="S46" s="396"/>
      <c r="T46" s="396"/>
      <c r="U46" s="396"/>
      <c r="V46" s="396"/>
      <c r="W46" s="396"/>
      <c r="X46" s="396"/>
      <c r="Y46" s="396"/>
      <c r="Z46" s="396"/>
    </row>
    <row r="47" ht="12.75" customHeight="1">
      <c r="A47" s="396"/>
      <c r="B47" s="415" t="s">
        <v>524</v>
      </c>
      <c r="C47" s="408" t="s">
        <v>530</v>
      </c>
      <c r="D47" s="409">
        <v>100.0</v>
      </c>
      <c r="E47" s="410">
        <v>840.0</v>
      </c>
      <c r="F47" s="409">
        <v>0.038</v>
      </c>
      <c r="G47" s="411">
        <v>150.0</v>
      </c>
      <c r="H47" s="412">
        <f t="shared" si="1"/>
        <v>1.333333333</v>
      </c>
      <c r="I47" s="396"/>
      <c r="J47" s="396"/>
      <c r="K47" s="396"/>
      <c r="L47" s="396"/>
      <c r="M47" s="396"/>
      <c r="N47" s="396"/>
      <c r="O47" s="396"/>
      <c r="P47" s="396"/>
      <c r="Q47" s="396"/>
      <c r="R47" s="396"/>
      <c r="S47" s="396"/>
      <c r="T47" s="396"/>
      <c r="U47" s="396"/>
      <c r="V47" s="396"/>
      <c r="W47" s="396"/>
      <c r="X47" s="396"/>
      <c r="Y47" s="396"/>
      <c r="Z47" s="396"/>
    </row>
    <row r="48" ht="12.75" customHeight="1">
      <c r="A48" s="396"/>
      <c r="B48" s="415" t="s">
        <v>524</v>
      </c>
      <c r="C48" s="408" t="s">
        <v>530</v>
      </c>
      <c r="D48" s="409">
        <v>125.0</v>
      </c>
      <c r="E48" s="410">
        <v>840.0</v>
      </c>
      <c r="F48" s="409">
        <v>0.038</v>
      </c>
      <c r="G48" s="411">
        <v>150.0</v>
      </c>
      <c r="H48" s="412">
        <f t="shared" si="1"/>
        <v>1.333333333</v>
      </c>
      <c r="I48" s="396"/>
      <c r="J48" s="396"/>
      <c r="K48" s="396"/>
      <c r="L48" s="396"/>
      <c r="M48" s="396"/>
      <c r="N48" s="396"/>
      <c r="O48" s="396"/>
      <c r="P48" s="396"/>
      <c r="Q48" s="396"/>
      <c r="R48" s="396"/>
      <c r="S48" s="396"/>
      <c r="T48" s="396"/>
      <c r="U48" s="396"/>
      <c r="V48" s="396"/>
      <c r="W48" s="396"/>
      <c r="X48" s="396"/>
      <c r="Y48" s="396"/>
      <c r="Z48" s="396"/>
    </row>
    <row r="49" ht="12.75" customHeight="1">
      <c r="A49" s="396"/>
      <c r="B49" s="415" t="s">
        <v>524</v>
      </c>
      <c r="C49" s="408" t="s">
        <v>531</v>
      </c>
      <c r="D49" s="409">
        <v>100.0</v>
      </c>
      <c r="E49" s="410">
        <v>840.0</v>
      </c>
      <c r="F49" s="409">
        <v>0.048</v>
      </c>
      <c r="G49" s="411">
        <v>150.0</v>
      </c>
      <c r="H49" s="412">
        <f t="shared" si="1"/>
        <v>1.333333333</v>
      </c>
      <c r="I49" s="396"/>
      <c r="J49" s="396"/>
      <c r="K49" s="396"/>
      <c r="L49" s="396"/>
      <c r="M49" s="396"/>
      <c r="N49" s="396"/>
      <c r="O49" s="396"/>
      <c r="P49" s="396"/>
      <c r="Q49" s="396"/>
      <c r="R49" s="396"/>
      <c r="S49" s="396"/>
      <c r="T49" s="396"/>
      <c r="U49" s="396"/>
      <c r="V49" s="396"/>
      <c r="W49" s="396"/>
      <c r="X49" s="396"/>
      <c r="Y49" s="396"/>
      <c r="Z49" s="396"/>
    </row>
    <row r="50" ht="12.75" customHeight="1">
      <c r="A50" s="396"/>
      <c r="B50" s="415" t="s">
        <v>524</v>
      </c>
      <c r="C50" s="408" t="s">
        <v>532</v>
      </c>
      <c r="D50" s="409">
        <v>60.0</v>
      </c>
      <c r="E50" s="410">
        <v>840.0</v>
      </c>
      <c r="F50" s="409">
        <v>0.044</v>
      </c>
      <c r="G50" s="411">
        <v>150.0</v>
      </c>
      <c r="H50" s="412">
        <f t="shared" si="1"/>
        <v>1.333333333</v>
      </c>
      <c r="I50" s="396"/>
      <c r="J50" s="396"/>
      <c r="K50" s="396"/>
      <c r="L50" s="396"/>
      <c r="M50" s="396"/>
      <c r="N50" s="396"/>
      <c r="O50" s="396"/>
      <c r="P50" s="396"/>
      <c r="Q50" s="396"/>
      <c r="R50" s="396"/>
      <c r="S50" s="396"/>
      <c r="T50" s="396"/>
      <c r="U50" s="396"/>
      <c r="V50" s="396"/>
      <c r="W50" s="396"/>
      <c r="X50" s="396"/>
      <c r="Y50" s="396"/>
      <c r="Z50" s="396"/>
    </row>
    <row r="51" ht="12.75" customHeight="1">
      <c r="A51" s="396"/>
      <c r="B51" s="415" t="s">
        <v>524</v>
      </c>
      <c r="C51" s="408" t="s">
        <v>532</v>
      </c>
      <c r="D51" s="409">
        <v>80.0</v>
      </c>
      <c r="E51" s="410">
        <v>840.0</v>
      </c>
      <c r="F51" s="409">
        <v>0.044</v>
      </c>
      <c r="G51" s="411">
        <v>150.0</v>
      </c>
      <c r="H51" s="412">
        <f t="shared" si="1"/>
        <v>1.333333333</v>
      </c>
      <c r="I51" s="396"/>
      <c r="J51" s="396"/>
      <c r="K51" s="396"/>
      <c r="L51" s="396"/>
      <c r="M51" s="396"/>
      <c r="N51" s="396"/>
      <c r="O51" s="396"/>
      <c r="P51" s="396"/>
      <c r="Q51" s="396"/>
      <c r="R51" s="396"/>
      <c r="S51" s="396"/>
      <c r="T51" s="396"/>
      <c r="U51" s="396"/>
      <c r="V51" s="396"/>
      <c r="W51" s="396"/>
      <c r="X51" s="396"/>
      <c r="Y51" s="396"/>
      <c r="Z51" s="396"/>
    </row>
    <row r="52" ht="12.75" customHeight="1">
      <c r="A52" s="396"/>
      <c r="B52" s="415" t="s">
        <v>524</v>
      </c>
      <c r="C52" s="408" t="s">
        <v>532</v>
      </c>
      <c r="D52" s="409">
        <v>100.0</v>
      </c>
      <c r="E52" s="410">
        <v>840.0</v>
      </c>
      <c r="F52" s="409">
        <v>0.045</v>
      </c>
      <c r="G52" s="411">
        <v>150.0</v>
      </c>
      <c r="H52" s="412">
        <f t="shared" si="1"/>
        <v>1.333333333</v>
      </c>
      <c r="I52" s="396"/>
      <c r="J52" s="396"/>
      <c r="K52" s="396"/>
      <c r="L52" s="396"/>
      <c r="M52" s="396"/>
      <c r="N52" s="396"/>
      <c r="O52" s="396"/>
      <c r="P52" s="396"/>
      <c r="Q52" s="396"/>
      <c r="R52" s="396"/>
      <c r="S52" s="396"/>
      <c r="T52" s="396"/>
      <c r="U52" s="396"/>
      <c r="V52" s="396"/>
      <c r="W52" s="396"/>
      <c r="X52" s="396"/>
      <c r="Y52" s="396"/>
      <c r="Z52" s="396"/>
    </row>
    <row r="53" ht="12.75" customHeight="1">
      <c r="A53" s="396"/>
      <c r="B53" s="415" t="s">
        <v>524</v>
      </c>
      <c r="C53" s="408" t="s">
        <v>533</v>
      </c>
      <c r="D53" s="409">
        <v>40.0</v>
      </c>
      <c r="E53" s="410">
        <v>840.0</v>
      </c>
      <c r="F53" s="409">
        <v>0.054</v>
      </c>
      <c r="G53" s="411">
        <v>150.0</v>
      </c>
      <c r="H53" s="412">
        <f t="shared" si="1"/>
        <v>1.333333333</v>
      </c>
      <c r="I53" s="396"/>
      <c r="J53" s="396"/>
      <c r="K53" s="396"/>
      <c r="L53" s="396"/>
      <c r="M53" s="396"/>
      <c r="N53" s="396"/>
      <c r="O53" s="396"/>
      <c r="P53" s="396"/>
      <c r="Q53" s="396"/>
      <c r="R53" s="396"/>
      <c r="S53" s="396"/>
      <c r="T53" s="396"/>
      <c r="U53" s="396"/>
      <c r="V53" s="396"/>
      <c r="W53" s="396"/>
      <c r="X53" s="396"/>
      <c r="Y53" s="396"/>
      <c r="Z53" s="396"/>
    </row>
    <row r="54" ht="12.75" customHeight="1">
      <c r="A54" s="396"/>
      <c r="B54" s="415" t="s">
        <v>524</v>
      </c>
      <c r="C54" s="408" t="s">
        <v>534</v>
      </c>
      <c r="D54" s="409">
        <v>40.0</v>
      </c>
      <c r="E54" s="410">
        <v>840.0</v>
      </c>
      <c r="F54" s="409">
        <v>0.054</v>
      </c>
      <c r="G54" s="411">
        <v>150.0</v>
      </c>
      <c r="H54" s="412">
        <f t="shared" si="1"/>
        <v>1.333333333</v>
      </c>
      <c r="I54" s="396"/>
      <c r="J54" s="396"/>
      <c r="K54" s="396"/>
      <c r="L54" s="396"/>
      <c r="M54" s="396"/>
      <c r="N54" s="396"/>
      <c r="O54" s="396"/>
      <c r="P54" s="396"/>
      <c r="Q54" s="396"/>
      <c r="R54" s="396"/>
      <c r="S54" s="396"/>
      <c r="T54" s="396"/>
      <c r="U54" s="396"/>
      <c r="V54" s="396"/>
      <c r="W54" s="396"/>
      <c r="X54" s="396"/>
      <c r="Y54" s="396"/>
      <c r="Z54" s="396"/>
    </row>
    <row r="55" ht="12.75" customHeight="1">
      <c r="A55" s="396"/>
      <c r="B55" s="415" t="s">
        <v>524</v>
      </c>
      <c r="C55" s="408" t="s">
        <v>534</v>
      </c>
      <c r="D55" s="409">
        <v>60.0</v>
      </c>
      <c r="E55" s="410">
        <v>840.0</v>
      </c>
      <c r="F55" s="409">
        <v>0.048</v>
      </c>
      <c r="G55" s="411">
        <v>150.0</v>
      </c>
      <c r="H55" s="412">
        <f t="shared" si="1"/>
        <v>1.333333333</v>
      </c>
      <c r="I55" s="396"/>
      <c r="J55" s="396"/>
      <c r="K55" s="396"/>
      <c r="L55" s="396"/>
      <c r="M55" s="396"/>
      <c r="N55" s="396"/>
      <c r="O55" s="396"/>
      <c r="P55" s="396"/>
      <c r="Q55" s="396"/>
      <c r="R55" s="396"/>
      <c r="S55" s="396"/>
      <c r="T55" s="396"/>
      <c r="U55" s="396"/>
      <c r="V55" s="396"/>
      <c r="W55" s="396"/>
      <c r="X55" s="396"/>
      <c r="Y55" s="396"/>
      <c r="Z55" s="396"/>
    </row>
    <row r="56" ht="12.75" customHeight="1">
      <c r="A56" s="396"/>
      <c r="B56" s="415" t="s">
        <v>524</v>
      </c>
      <c r="C56" s="408" t="s">
        <v>534</v>
      </c>
      <c r="D56" s="409">
        <v>80.0</v>
      </c>
      <c r="E56" s="410">
        <v>840.0</v>
      </c>
      <c r="F56" s="409">
        <v>0.046</v>
      </c>
      <c r="G56" s="411">
        <v>150.0</v>
      </c>
      <c r="H56" s="412">
        <f t="shared" si="1"/>
        <v>1.333333333</v>
      </c>
      <c r="I56" s="396"/>
      <c r="J56" s="396"/>
      <c r="K56" s="396"/>
      <c r="L56" s="396"/>
      <c r="M56" s="396"/>
      <c r="N56" s="396"/>
      <c r="O56" s="396"/>
      <c r="P56" s="396"/>
      <c r="Q56" s="396"/>
      <c r="R56" s="396"/>
      <c r="S56" s="396"/>
      <c r="T56" s="396"/>
      <c r="U56" s="396"/>
      <c r="V56" s="396"/>
      <c r="W56" s="396"/>
      <c r="X56" s="396"/>
      <c r="Y56" s="396"/>
      <c r="Z56" s="396"/>
    </row>
    <row r="57" ht="12.75" customHeight="1">
      <c r="A57" s="396"/>
      <c r="B57" s="415" t="s">
        <v>524</v>
      </c>
      <c r="C57" s="408" t="s">
        <v>534</v>
      </c>
      <c r="D57" s="409">
        <v>100.0</v>
      </c>
      <c r="E57" s="410">
        <v>840.0</v>
      </c>
      <c r="F57" s="409">
        <v>0.046</v>
      </c>
      <c r="G57" s="411">
        <v>150.0</v>
      </c>
      <c r="H57" s="412">
        <f t="shared" si="1"/>
        <v>1.333333333</v>
      </c>
      <c r="I57" s="396"/>
      <c r="J57" s="396"/>
      <c r="K57" s="396"/>
      <c r="L57" s="396"/>
      <c r="M57" s="396"/>
      <c r="N57" s="396"/>
      <c r="O57" s="396"/>
      <c r="P57" s="396"/>
      <c r="Q57" s="396"/>
      <c r="R57" s="396"/>
      <c r="S57" s="396"/>
      <c r="T57" s="396"/>
      <c r="U57" s="396"/>
      <c r="V57" s="396"/>
      <c r="W57" s="396"/>
      <c r="X57" s="396"/>
      <c r="Y57" s="396"/>
      <c r="Z57" s="396"/>
    </row>
    <row r="58" ht="12.75" customHeight="1">
      <c r="A58" s="396"/>
      <c r="B58" s="415" t="s">
        <v>524</v>
      </c>
      <c r="C58" s="408" t="s">
        <v>534</v>
      </c>
      <c r="D58" s="409">
        <v>150.0</v>
      </c>
      <c r="E58" s="410">
        <v>840.0</v>
      </c>
      <c r="F58" s="409">
        <v>0.048</v>
      </c>
      <c r="G58" s="411">
        <v>150.0</v>
      </c>
      <c r="H58" s="412">
        <f t="shared" si="1"/>
        <v>1.333333333</v>
      </c>
      <c r="I58" s="396"/>
      <c r="J58" s="396"/>
      <c r="K58" s="396"/>
      <c r="L58" s="396"/>
      <c r="M58" s="396"/>
      <c r="N58" s="396"/>
      <c r="O58" s="396"/>
      <c r="P58" s="396"/>
      <c r="Q58" s="396"/>
      <c r="R58" s="396"/>
      <c r="S58" s="396"/>
      <c r="T58" s="396"/>
      <c r="U58" s="396"/>
      <c r="V58" s="396"/>
      <c r="W58" s="396"/>
      <c r="X58" s="396"/>
      <c r="Y58" s="396"/>
      <c r="Z58" s="396"/>
    </row>
    <row r="59" ht="12.75" customHeight="1">
      <c r="A59" s="396"/>
      <c r="B59" s="415" t="s">
        <v>535</v>
      </c>
      <c r="C59" s="408" t="s">
        <v>536</v>
      </c>
      <c r="D59" s="409">
        <v>600.0</v>
      </c>
      <c r="E59" s="410">
        <v>840.0</v>
      </c>
      <c r="F59" s="409">
        <v>0.29</v>
      </c>
      <c r="G59" s="411">
        <v>18.0</v>
      </c>
      <c r="H59" s="412">
        <f t="shared" si="1"/>
        <v>11.11111111</v>
      </c>
      <c r="I59" s="396"/>
      <c r="J59" s="396"/>
      <c r="K59" s="396"/>
      <c r="L59" s="396"/>
      <c r="M59" s="396"/>
      <c r="N59" s="396"/>
      <c r="O59" s="396"/>
      <c r="P59" s="396"/>
      <c r="Q59" s="396"/>
      <c r="R59" s="396"/>
      <c r="S59" s="396"/>
      <c r="T59" s="396"/>
      <c r="U59" s="396"/>
      <c r="V59" s="396"/>
      <c r="W59" s="396"/>
      <c r="X59" s="396"/>
      <c r="Y59" s="396"/>
      <c r="Z59" s="396"/>
    </row>
    <row r="60" ht="12.75" customHeight="1">
      <c r="A60" s="396"/>
      <c r="B60" s="415" t="s">
        <v>535</v>
      </c>
      <c r="C60" s="408" t="s">
        <v>536</v>
      </c>
      <c r="D60" s="409">
        <v>750.0</v>
      </c>
      <c r="E60" s="410">
        <v>840.0</v>
      </c>
      <c r="F60" s="409">
        <v>0.35</v>
      </c>
      <c r="G60" s="411">
        <v>18.0</v>
      </c>
      <c r="H60" s="412">
        <f t="shared" si="1"/>
        <v>11.11111111</v>
      </c>
      <c r="I60" s="396"/>
      <c r="J60" s="396"/>
      <c r="K60" s="396"/>
      <c r="L60" s="396"/>
      <c r="M60" s="396"/>
      <c r="N60" s="396"/>
      <c r="O60" s="396"/>
      <c r="P60" s="396"/>
      <c r="Q60" s="396"/>
      <c r="R60" s="396"/>
      <c r="S60" s="396"/>
      <c r="T60" s="396"/>
      <c r="U60" s="396"/>
      <c r="V60" s="396"/>
      <c r="W60" s="396"/>
      <c r="X60" s="396"/>
      <c r="Y60" s="396"/>
      <c r="Z60" s="396"/>
    </row>
    <row r="61" ht="12.75" customHeight="1">
      <c r="A61" s="396"/>
      <c r="B61" s="415" t="s">
        <v>535</v>
      </c>
      <c r="C61" s="408" t="s">
        <v>536</v>
      </c>
      <c r="D61" s="409">
        <v>900.0</v>
      </c>
      <c r="E61" s="410">
        <v>840.0</v>
      </c>
      <c r="F61" s="409">
        <v>0.41</v>
      </c>
      <c r="G61" s="411">
        <v>18.0</v>
      </c>
      <c r="H61" s="412">
        <f t="shared" si="1"/>
        <v>11.11111111</v>
      </c>
      <c r="I61" s="396"/>
      <c r="J61" s="396"/>
      <c r="K61" s="396"/>
      <c r="L61" s="396"/>
      <c r="M61" s="396"/>
      <c r="N61" s="396"/>
      <c r="O61" s="396"/>
      <c r="P61" s="396"/>
      <c r="Q61" s="396"/>
      <c r="R61" s="396"/>
      <c r="S61" s="396"/>
      <c r="T61" s="396"/>
      <c r="U61" s="396"/>
      <c r="V61" s="396"/>
      <c r="W61" s="396"/>
      <c r="X61" s="396"/>
      <c r="Y61" s="396"/>
      <c r="Z61" s="396"/>
    </row>
    <row r="62" ht="12.75" customHeight="1">
      <c r="A62" s="396"/>
      <c r="B62" s="415" t="s">
        <v>535</v>
      </c>
      <c r="C62" s="408" t="s">
        <v>536</v>
      </c>
      <c r="D62" s="409">
        <v>1000.0</v>
      </c>
      <c r="E62" s="410">
        <v>840.0</v>
      </c>
      <c r="F62" s="409">
        <v>0.47</v>
      </c>
      <c r="G62" s="411">
        <v>18.0</v>
      </c>
      <c r="H62" s="412">
        <f t="shared" si="1"/>
        <v>11.11111111</v>
      </c>
      <c r="I62" s="396"/>
      <c r="J62" s="396"/>
      <c r="K62" s="396"/>
      <c r="L62" s="396"/>
      <c r="M62" s="396"/>
      <c r="N62" s="396"/>
      <c r="O62" s="396"/>
      <c r="P62" s="396"/>
      <c r="Q62" s="396"/>
      <c r="R62" s="396"/>
      <c r="S62" s="396"/>
      <c r="T62" s="396"/>
      <c r="U62" s="396"/>
      <c r="V62" s="396"/>
      <c r="W62" s="396"/>
      <c r="X62" s="396"/>
      <c r="Y62" s="396"/>
      <c r="Z62" s="396"/>
    </row>
    <row r="63" ht="12.75" customHeight="1">
      <c r="A63" s="396"/>
      <c r="B63" s="415" t="s">
        <v>535</v>
      </c>
      <c r="C63" s="408" t="s">
        <v>536</v>
      </c>
      <c r="D63" s="409">
        <v>1200.0</v>
      </c>
      <c r="E63" s="410">
        <v>840.0</v>
      </c>
      <c r="F63" s="409">
        <v>0.58</v>
      </c>
      <c r="G63" s="411">
        <v>18.0</v>
      </c>
      <c r="H63" s="412">
        <f t="shared" si="1"/>
        <v>11.11111111</v>
      </c>
      <c r="I63" s="396"/>
      <c r="J63" s="396"/>
      <c r="K63" s="396"/>
      <c r="L63" s="396"/>
      <c r="M63" s="396"/>
      <c r="N63" s="396"/>
      <c r="O63" s="396"/>
      <c r="P63" s="396"/>
      <c r="Q63" s="396"/>
      <c r="R63" s="396"/>
      <c r="S63" s="396"/>
      <c r="T63" s="396"/>
      <c r="U63" s="396"/>
      <c r="V63" s="396"/>
      <c r="W63" s="396"/>
      <c r="X63" s="396"/>
      <c r="Y63" s="396"/>
      <c r="Z63" s="396"/>
    </row>
    <row r="64" ht="12.75" customHeight="1">
      <c r="A64" s="396"/>
      <c r="B64" s="415" t="s">
        <v>535</v>
      </c>
      <c r="C64" s="408" t="s">
        <v>537</v>
      </c>
      <c r="D64" s="409">
        <v>1200.0</v>
      </c>
      <c r="E64" s="410">
        <v>840.0</v>
      </c>
      <c r="F64" s="409">
        <v>0.35</v>
      </c>
      <c r="G64" s="411">
        <v>18.0</v>
      </c>
      <c r="H64" s="412">
        <f t="shared" si="1"/>
        <v>11.11111111</v>
      </c>
      <c r="I64" s="396"/>
      <c r="J64" s="396"/>
      <c r="K64" s="396"/>
      <c r="L64" s="396"/>
      <c r="M64" s="396"/>
      <c r="N64" s="396"/>
      <c r="O64" s="396"/>
      <c r="P64" s="396"/>
      <c r="Q64" s="396"/>
      <c r="R64" s="396"/>
      <c r="S64" s="396"/>
      <c r="T64" s="396"/>
      <c r="U64" s="396"/>
      <c r="V64" s="396"/>
      <c r="W64" s="396"/>
      <c r="X64" s="396"/>
      <c r="Y64" s="396"/>
      <c r="Z64" s="396"/>
    </row>
    <row r="65" ht="12.75" customHeight="1">
      <c r="A65" s="396"/>
      <c r="B65" s="415" t="s">
        <v>535</v>
      </c>
      <c r="C65" s="408" t="s">
        <v>538</v>
      </c>
      <c r="D65" s="409">
        <v>1400.0</v>
      </c>
      <c r="E65" s="410">
        <v>840.0</v>
      </c>
      <c r="F65" s="409">
        <v>0.7</v>
      </c>
      <c r="G65" s="411">
        <v>18.0</v>
      </c>
      <c r="H65" s="412">
        <f t="shared" si="1"/>
        <v>11.11111111</v>
      </c>
      <c r="I65" s="396"/>
      <c r="J65" s="396"/>
      <c r="K65" s="396"/>
      <c r="L65" s="396"/>
      <c r="M65" s="396"/>
      <c r="N65" s="396"/>
      <c r="O65" s="396"/>
      <c r="P65" s="396"/>
      <c r="Q65" s="396"/>
      <c r="R65" s="396"/>
      <c r="S65" s="396"/>
      <c r="T65" s="396"/>
      <c r="U65" s="396"/>
      <c r="V65" s="396"/>
      <c r="W65" s="396"/>
      <c r="X65" s="396"/>
      <c r="Y65" s="396"/>
      <c r="Z65" s="396"/>
    </row>
    <row r="66" ht="12.75" customHeight="1">
      <c r="A66" s="396"/>
      <c r="B66" s="415" t="s">
        <v>535</v>
      </c>
      <c r="C66" s="408" t="s">
        <v>539</v>
      </c>
      <c r="D66" s="409">
        <v>1800.0</v>
      </c>
      <c r="E66" s="410">
        <v>840.0</v>
      </c>
      <c r="F66" s="409">
        <v>0.9</v>
      </c>
      <c r="G66" s="411">
        <v>8.5</v>
      </c>
      <c r="H66" s="412">
        <f t="shared" si="1"/>
        <v>23.52941176</v>
      </c>
      <c r="I66" s="396"/>
      <c r="J66" s="396"/>
      <c r="K66" s="396"/>
      <c r="L66" s="396"/>
      <c r="M66" s="396"/>
      <c r="N66" s="396"/>
      <c r="O66" s="396"/>
      <c r="P66" s="396"/>
      <c r="Q66" s="396"/>
      <c r="R66" s="396"/>
      <c r="S66" s="396"/>
      <c r="T66" s="396"/>
      <c r="U66" s="396"/>
      <c r="V66" s="396"/>
      <c r="W66" s="396"/>
      <c r="X66" s="396"/>
      <c r="Y66" s="396"/>
      <c r="Z66" s="396"/>
    </row>
    <row r="67" ht="12.75" customHeight="1">
      <c r="A67" s="396"/>
      <c r="B67" s="415" t="s">
        <v>535</v>
      </c>
      <c r="C67" s="408" t="s">
        <v>540</v>
      </c>
      <c r="D67" s="409">
        <v>2000.0</v>
      </c>
      <c r="E67" s="410">
        <v>840.0</v>
      </c>
      <c r="F67" s="409">
        <v>1.4</v>
      </c>
      <c r="G67" s="411">
        <v>8.5</v>
      </c>
      <c r="H67" s="412">
        <f t="shared" si="1"/>
        <v>23.52941176</v>
      </c>
      <c r="I67" s="396"/>
      <c r="J67" s="396"/>
      <c r="K67" s="396"/>
      <c r="L67" s="396"/>
      <c r="M67" s="396"/>
      <c r="N67" s="396"/>
      <c r="O67" s="396"/>
      <c r="P67" s="396"/>
      <c r="Q67" s="396"/>
      <c r="R67" s="396"/>
      <c r="S67" s="396"/>
      <c r="T67" s="396"/>
      <c r="U67" s="396"/>
      <c r="V67" s="396"/>
      <c r="W67" s="396"/>
      <c r="X67" s="396"/>
      <c r="Y67" s="396"/>
      <c r="Z67" s="396"/>
    </row>
    <row r="68" ht="12.75" customHeight="1">
      <c r="A68" s="396"/>
      <c r="B68" s="415" t="s">
        <v>541</v>
      </c>
      <c r="C68" s="408" t="s">
        <v>542</v>
      </c>
      <c r="D68" s="409">
        <v>600.0</v>
      </c>
      <c r="E68" s="410">
        <v>840.0</v>
      </c>
      <c r="F68" s="409">
        <v>0.25</v>
      </c>
      <c r="G68" s="411">
        <v>27.0</v>
      </c>
      <c r="H68" s="412">
        <f t="shared" si="1"/>
        <v>7.407407407</v>
      </c>
      <c r="I68" s="396"/>
      <c r="J68" s="396"/>
      <c r="K68" s="396"/>
      <c r="L68" s="396"/>
      <c r="M68" s="396"/>
      <c r="N68" s="396"/>
      <c r="O68" s="396"/>
      <c r="P68" s="396"/>
      <c r="Q68" s="396"/>
      <c r="R68" s="396"/>
      <c r="S68" s="396"/>
      <c r="T68" s="396"/>
      <c r="U68" s="396"/>
      <c r="V68" s="396"/>
      <c r="W68" s="396"/>
      <c r="X68" s="396"/>
      <c r="Y68" s="396"/>
      <c r="Z68" s="396"/>
    </row>
    <row r="69" ht="12.75" customHeight="1">
      <c r="A69" s="396"/>
      <c r="B69" s="415" t="s">
        <v>541</v>
      </c>
      <c r="C69" s="408" t="s">
        <v>542</v>
      </c>
      <c r="D69" s="409">
        <v>800.0</v>
      </c>
      <c r="E69" s="410">
        <v>840.0</v>
      </c>
      <c r="F69" s="413">
        <v>0.3</v>
      </c>
      <c r="G69" s="411">
        <v>27.0</v>
      </c>
      <c r="H69" s="412">
        <f t="shared" si="1"/>
        <v>7.407407407</v>
      </c>
      <c r="I69" s="396"/>
      <c r="J69" s="396"/>
      <c r="K69" s="396"/>
      <c r="L69" s="396"/>
      <c r="M69" s="396"/>
      <c r="N69" s="396"/>
      <c r="O69" s="396"/>
      <c r="P69" s="396"/>
      <c r="Q69" s="396"/>
      <c r="R69" s="396"/>
      <c r="S69" s="396"/>
      <c r="T69" s="396"/>
      <c r="U69" s="396"/>
      <c r="V69" s="396"/>
      <c r="W69" s="396"/>
      <c r="X69" s="396"/>
      <c r="Y69" s="396"/>
      <c r="Z69" s="396"/>
    </row>
    <row r="70" ht="12.75" customHeight="1">
      <c r="A70" s="396"/>
      <c r="B70" s="415" t="s">
        <v>541</v>
      </c>
      <c r="C70" s="408" t="s">
        <v>542</v>
      </c>
      <c r="D70" s="409">
        <v>1000.0</v>
      </c>
      <c r="E70" s="410">
        <v>840.0</v>
      </c>
      <c r="F70" s="409">
        <v>0.36</v>
      </c>
      <c r="G70" s="411">
        <v>27.0</v>
      </c>
      <c r="H70" s="412">
        <f t="shared" si="1"/>
        <v>7.407407407</v>
      </c>
      <c r="I70" s="396"/>
      <c r="J70" s="396"/>
      <c r="K70" s="396"/>
      <c r="L70" s="396"/>
      <c r="M70" s="396"/>
      <c r="N70" s="396"/>
      <c r="O70" s="396"/>
      <c r="P70" s="396"/>
      <c r="Q70" s="396"/>
      <c r="R70" s="396"/>
      <c r="S70" s="396"/>
      <c r="T70" s="396"/>
      <c r="U70" s="396"/>
      <c r="V70" s="396"/>
      <c r="W70" s="396"/>
      <c r="X70" s="396"/>
      <c r="Y70" s="396"/>
      <c r="Z70" s="396"/>
    </row>
    <row r="71" ht="12.75" customHeight="1">
      <c r="A71" s="396"/>
      <c r="B71" s="415" t="s">
        <v>541</v>
      </c>
      <c r="C71" s="408" t="s">
        <v>542</v>
      </c>
      <c r="D71" s="409">
        <v>1200.0</v>
      </c>
      <c r="E71" s="410">
        <v>840.0</v>
      </c>
      <c r="F71" s="409">
        <v>0.43</v>
      </c>
      <c r="G71" s="411">
        <v>27.0</v>
      </c>
      <c r="H71" s="412">
        <f t="shared" si="1"/>
        <v>7.407407407</v>
      </c>
      <c r="I71" s="396"/>
      <c r="J71" s="396"/>
      <c r="K71" s="396"/>
      <c r="L71" s="396"/>
      <c r="M71" s="396"/>
      <c r="N71" s="396"/>
      <c r="O71" s="396"/>
      <c r="P71" s="396"/>
      <c r="Q71" s="396"/>
      <c r="R71" s="396"/>
      <c r="S71" s="396"/>
      <c r="T71" s="396"/>
      <c r="U71" s="396"/>
      <c r="V71" s="396"/>
      <c r="W71" s="396"/>
      <c r="X71" s="396"/>
      <c r="Y71" s="396"/>
      <c r="Z71" s="396"/>
    </row>
    <row r="72" ht="12.75" customHeight="1">
      <c r="A72" s="396"/>
      <c r="B72" s="415" t="s">
        <v>541</v>
      </c>
      <c r="C72" s="408" t="s">
        <v>542</v>
      </c>
      <c r="D72" s="409">
        <v>1400.0</v>
      </c>
      <c r="E72" s="410">
        <v>840.0</v>
      </c>
      <c r="F72" s="413">
        <v>0.5</v>
      </c>
      <c r="G72" s="411">
        <v>27.0</v>
      </c>
      <c r="H72" s="412">
        <f t="shared" si="1"/>
        <v>7.407407407</v>
      </c>
      <c r="I72" s="396"/>
      <c r="J72" s="396"/>
      <c r="K72" s="396"/>
      <c r="L72" s="396"/>
      <c r="M72" s="396"/>
      <c r="N72" s="396"/>
      <c r="O72" s="396"/>
      <c r="P72" s="396"/>
      <c r="Q72" s="396"/>
      <c r="R72" s="396"/>
      <c r="S72" s="396"/>
      <c r="T72" s="396"/>
      <c r="U72" s="396"/>
      <c r="V72" s="396"/>
      <c r="W72" s="396"/>
      <c r="X72" s="396"/>
      <c r="Y72" s="396"/>
      <c r="Z72" s="396"/>
    </row>
    <row r="73" ht="12.75" customHeight="1">
      <c r="A73" s="396"/>
      <c r="B73" s="415" t="s">
        <v>541</v>
      </c>
      <c r="C73" s="408" t="s">
        <v>542</v>
      </c>
      <c r="D73" s="409">
        <v>1600.0</v>
      </c>
      <c r="E73" s="410">
        <v>840.0</v>
      </c>
      <c r="F73" s="409">
        <v>0.59</v>
      </c>
      <c r="G73" s="411">
        <v>27.0</v>
      </c>
      <c r="H73" s="412">
        <f t="shared" si="1"/>
        <v>7.407407407</v>
      </c>
      <c r="I73" s="396"/>
      <c r="J73" s="396"/>
      <c r="K73" s="396"/>
      <c r="L73" s="396"/>
      <c r="M73" s="396"/>
      <c r="N73" s="396"/>
      <c r="O73" s="396"/>
      <c r="P73" s="396"/>
      <c r="Q73" s="396"/>
      <c r="R73" s="396"/>
      <c r="S73" s="396"/>
      <c r="T73" s="396"/>
      <c r="U73" s="396"/>
      <c r="V73" s="396"/>
      <c r="W73" s="396"/>
      <c r="X73" s="396"/>
      <c r="Y73" s="396"/>
      <c r="Z73" s="396"/>
    </row>
    <row r="74" ht="12.75" customHeight="1">
      <c r="A74" s="396"/>
      <c r="B74" s="415" t="s">
        <v>541</v>
      </c>
      <c r="C74" s="408" t="s">
        <v>542</v>
      </c>
      <c r="D74" s="409">
        <v>1800.0</v>
      </c>
      <c r="E74" s="410">
        <v>840.0</v>
      </c>
      <c r="F74" s="409">
        <v>0.72</v>
      </c>
      <c r="G74" s="411">
        <v>27.0</v>
      </c>
      <c r="H74" s="412">
        <f t="shared" si="1"/>
        <v>7.407407407</v>
      </c>
      <c r="I74" s="396"/>
      <c r="J74" s="396"/>
      <c r="K74" s="396"/>
      <c r="L74" s="396"/>
      <c r="M74" s="396"/>
      <c r="N74" s="396"/>
      <c r="O74" s="396"/>
      <c r="P74" s="396"/>
      <c r="Q74" s="396"/>
      <c r="R74" s="396"/>
      <c r="S74" s="396"/>
      <c r="T74" s="396"/>
      <c r="U74" s="396"/>
      <c r="V74" s="396"/>
      <c r="W74" s="396"/>
      <c r="X74" s="396"/>
      <c r="Y74" s="396"/>
      <c r="Z74" s="396"/>
    </row>
    <row r="75" ht="12.75" customHeight="1">
      <c r="A75" s="396"/>
      <c r="B75" s="415" t="s">
        <v>541</v>
      </c>
      <c r="C75" s="408" t="s">
        <v>542</v>
      </c>
      <c r="D75" s="409">
        <v>2000.0</v>
      </c>
      <c r="E75" s="410">
        <v>840.0</v>
      </c>
      <c r="F75" s="413">
        <v>0.9</v>
      </c>
      <c r="G75" s="411">
        <v>27.0</v>
      </c>
      <c r="H75" s="412">
        <f t="shared" si="1"/>
        <v>7.407407407</v>
      </c>
      <c r="I75" s="396"/>
      <c r="J75" s="396"/>
      <c r="K75" s="396"/>
      <c r="L75" s="396"/>
      <c r="M75" s="396"/>
      <c r="N75" s="396"/>
      <c r="O75" s="396"/>
      <c r="P75" s="396"/>
      <c r="Q75" s="396"/>
      <c r="R75" s="396"/>
      <c r="S75" s="396"/>
      <c r="T75" s="396"/>
      <c r="U75" s="396"/>
      <c r="V75" s="396"/>
      <c r="W75" s="396"/>
      <c r="X75" s="396"/>
      <c r="Y75" s="396"/>
      <c r="Z75" s="396"/>
    </row>
    <row r="76" ht="12.75" customHeight="1">
      <c r="A76" s="396"/>
      <c r="B76" s="415" t="s">
        <v>543</v>
      </c>
      <c r="C76" s="408" t="s">
        <v>544</v>
      </c>
      <c r="D76" s="409">
        <v>450.0</v>
      </c>
      <c r="E76" s="410">
        <v>2700.0</v>
      </c>
      <c r="F76" s="409">
        <v>0.12</v>
      </c>
      <c r="G76" s="411">
        <v>0.9</v>
      </c>
      <c r="H76" s="412">
        <f t="shared" si="1"/>
        <v>222.2222222</v>
      </c>
      <c r="I76" s="396"/>
      <c r="J76" s="396"/>
      <c r="K76" s="396"/>
      <c r="L76" s="396"/>
      <c r="M76" s="396"/>
      <c r="N76" s="396"/>
      <c r="O76" s="396"/>
      <c r="P76" s="396"/>
      <c r="Q76" s="396"/>
      <c r="R76" s="396"/>
      <c r="S76" s="396"/>
      <c r="T76" s="396"/>
      <c r="U76" s="396"/>
      <c r="V76" s="396"/>
      <c r="W76" s="396"/>
      <c r="X76" s="396"/>
      <c r="Y76" s="396"/>
      <c r="Z76" s="396"/>
    </row>
    <row r="77" ht="12.75" customHeight="1">
      <c r="A77" s="396"/>
      <c r="B77" s="415" t="s">
        <v>543</v>
      </c>
      <c r="C77" s="408" t="s">
        <v>545</v>
      </c>
      <c r="D77" s="409">
        <v>450.0</v>
      </c>
      <c r="E77" s="410">
        <v>2700.0</v>
      </c>
      <c r="F77" s="410">
        <v>0.18</v>
      </c>
      <c r="G77" s="411">
        <v>6.0</v>
      </c>
      <c r="H77" s="412">
        <f t="shared" si="1"/>
        <v>33.33333333</v>
      </c>
      <c r="I77" s="396"/>
      <c r="J77" s="396"/>
      <c r="K77" s="396"/>
      <c r="L77" s="396"/>
      <c r="M77" s="396"/>
      <c r="N77" s="396"/>
      <c r="O77" s="396"/>
      <c r="P77" s="396"/>
      <c r="Q77" s="396"/>
      <c r="R77" s="396"/>
      <c r="S77" s="396"/>
      <c r="T77" s="396"/>
      <c r="U77" s="396"/>
      <c r="V77" s="396"/>
      <c r="W77" s="396"/>
      <c r="X77" s="396"/>
      <c r="Y77" s="396"/>
      <c r="Z77" s="396"/>
    </row>
    <row r="78" ht="12.75" customHeight="1">
      <c r="A78" s="396"/>
      <c r="B78" s="415" t="s">
        <v>543</v>
      </c>
      <c r="C78" s="408" t="s">
        <v>546</v>
      </c>
      <c r="D78" s="409">
        <v>550.0</v>
      </c>
      <c r="E78" s="410">
        <v>2700.0</v>
      </c>
      <c r="F78" s="409">
        <v>0.15</v>
      </c>
      <c r="G78" s="411">
        <v>4.5</v>
      </c>
      <c r="H78" s="412">
        <f t="shared" si="1"/>
        <v>44.44444444</v>
      </c>
      <c r="I78" s="396"/>
      <c r="J78" s="396"/>
      <c r="K78" s="396"/>
      <c r="L78" s="396"/>
      <c r="M78" s="396"/>
      <c r="N78" s="396"/>
      <c r="O78" s="396"/>
      <c r="P78" s="396"/>
      <c r="Q78" s="396"/>
      <c r="R78" s="396"/>
      <c r="S78" s="396"/>
      <c r="T78" s="396"/>
      <c r="U78" s="396"/>
      <c r="V78" s="396"/>
      <c r="W78" s="396"/>
      <c r="X78" s="396"/>
      <c r="Y78" s="396"/>
      <c r="Z78" s="396"/>
    </row>
    <row r="79" ht="12.75" customHeight="1">
      <c r="A79" s="396"/>
      <c r="B79" s="415" t="s">
        <v>543</v>
      </c>
      <c r="C79" s="418" t="s">
        <v>547</v>
      </c>
      <c r="D79" s="410">
        <v>550.0</v>
      </c>
      <c r="E79" s="410">
        <v>2700.0</v>
      </c>
      <c r="F79" s="410">
        <v>0.22</v>
      </c>
      <c r="G79" s="414">
        <v>9.28</v>
      </c>
      <c r="H79" s="412">
        <f t="shared" si="1"/>
        <v>21.55172414</v>
      </c>
      <c r="I79" s="396"/>
      <c r="J79" s="396"/>
      <c r="K79" s="396"/>
      <c r="L79" s="396"/>
      <c r="M79" s="396"/>
      <c r="N79" s="396"/>
      <c r="O79" s="396"/>
      <c r="P79" s="396"/>
      <c r="Q79" s="396"/>
      <c r="R79" s="396"/>
      <c r="S79" s="396"/>
      <c r="T79" s="396"/>
      <c r="U79" s="396"/>
      <c r="V79" s="396"/>
      <c r="W79" s="396"/>
      <c r="X79" s="396"/>
      <c r="Y79" s="396"/>
      <c r="Z79" s="396"/>
    </row>
    <row r="80" ht="12.75" customHeight="1">
      <c r="A80" s="396"/>
      <c r="B80" s="415" t="s">
        <v>543</v>
      </c>
      <c r="C80" s="408" t="s">
        <v>548</v>
      </c>
      <c r="D80" s="409">
        <v>710.0</v>
      </c>
      <c r="E80" s="410">
        <v>2400.0</v>
      </c>
      <c r="F80" s="409">
        <v>0.18</v>
      </c>
      <c r="G80" s="411">
        <v>4.5</v>
      </c>
      <c r="H80" s="412">
        <f t="shared" si="1"/>
        <v>44.44444444</v>
      </c>
      <c r="I80" s="396"/>
      <c r="J80" s="396"/>
      <c r="K80" s="396"/>
      <c r="L80" s="396"/>
      <c r="M80" s="396"/>
      <c r="N80" s="396"/>
      <c r="O80" s="396"/>
      <c r="P80" s="396"/>
      <c r="Q80" s="396"/>
      <c r="R80" s="396"/>
      <c r="S80" s="396"/>
      <c r="T80" s="396"/>
      <c r="U80" s="396"/>
      <c r="V80" s="396"/>
      <c r="W80" s="396"/>
      <c r="X80" s="396"/>
      <c r="Y80" s="396"/>
      <c r="Z80" s="396"/>
    </row>
    <row r="81" ht="12.75" customHeight="1">
      <c r="A81" s="396"/>
      <c r="B81" s="415" t="s">
        <v>543</v>
      </c>
      <c r="C81" s="418" t="s">
        <v>549</v>
      </c>
      <c r="D81" s="410">
        <v>710.0</v>
      </c>
      <c r="E81" s="410">
        <v>2400.0</v>
      </c>
      <c r="F81" s="410">
        <v>0.27</v>
      </c>
      <c r="G81" s="414">
        <v>9.28</v>
      </c>
      <c r="H81" s="412">
        <f t="shared" si="1"/>
        <v>21.55172414</v>
      </c>
      <c r="I81" s="396"/>
      <c r="J81" s="396"/>
      <c r="K81" s="396"/>
      <c r="L81" s="396"/>
      <c r="M81" s="396"/>
      <c r="N81" s="396"/>
      <c r="O81" s="396"/>
      <c r="P81" s="396"/>
      <c r="Q81" s="396"/>
      <c r="R81" s="396"/>
      <c r="S81" s="396"/>
      <c r="T81" s="396"/>
      <c r="U81" s="396"/>
      <c r="V81" s="396"/>
      <c r="W81" s="396"/>
      <c r="X81" s="396"/>
      <c r="Y81" s="396"/>
      <c r="Z81" s="396"/>
    </row>
    <row r="82" ht="12.75" customHeight="1">
      <c r="A82" s="396"/>
      <c r="B82" s="415" t="s">
        <v>543</v>
      </c>
      <c r="C82" s="408" t="s">
        <v>550</v>
      </c>
      <c r="D82" s="409">
        <v>850.0</v>
      </c>
      <c r="E82" s="410">
        <v>2400.0</v>
      </c>
      <c r="F82" s="409">
        <v>0.22</v>
      </c>
      <c r="G82" s="411">
        <v>4.5</v>
      </c>
      <c r="H82" s="412">
        <f t="shared" si="1"/>
        <v>44.44444444</v>
      </c>
      <c r="I82" s="396"/>
      <c r="J82" s="396"/>
      <c r="K82" s="396"/>
      <c r="L82" s="396"/>
      <c r="M82" s="396"/>
      <c r="N82" s="396"/>
      <c r="O82" s="396"/>
      <c r="P82" s="396"/>
      <c r="Q82" s="396"/>
      <c r="R82" s="396"/>
      <c r="S82" s="396"/>
      <c r="T82" s="396"/>
      <c r="U82" s="396"/>
      <c r="V82" s="396"/>
      <c r="W82" s="396"/>
      <c r="X82" s="396"/>
      <c r="Y82" s="396"/>
      <c r="Z82" s="396"/>
    </row>
    <row r="83" ht="12.75" customHeight="1">
      <c r="A83" s="396"/>
      <c r="B83" s="415" t="s">
        <v>543</v>
      </c>
      <c r="C83" s="418" t="s">
        <v>551</v>
      </c>
      <c r="D83" s="410">
        <v>850.0</v>
      </c>
      <c r="E83" s="410">
        <v>2400.0</v>
      </c>
      <c r="F83" s="410">
        <v>0.32</v>
      </c>
      <c r="G83" s="414">
        <v>9.28</v>
      </c>
      <c r="H83" s="412">
        <f t="shared" si="1"/>
        <v>21.55172414</v>
      </c>
      <c r="I83" s="396"/>
      <c r="J83" s="396"/>
      <c r="K83" s="396"/>
      <c r="L83" s="396"/>
      <c r="M83" s="396"/>
      <c r="N83" s="396"/>
      <c r="O83" s="396"/>
      <c r="P83" s="396"/>
      <c r="Q83" s="396"/>
      <c r="R83" s="396"/>
      <c r="S83" s="396"/>
      <c r="T83" s="396"/>
      <c r="U83" s="396"/>
      <c r="V83" s="396"/>
      <c r="W83" s="396"/>
      <c r="X83" s="396"/>
      <c r="Y83" s="396"/>
      <c r="Z83" s="396"/>
    </row>
    <row r="84" ht="12.75" customHeight="1">
      <c r="A84" s="396"/>
      <c r="B84" s="415" t="s">
        <v>552</v>
      </c>
      <c r="C84" s="408" t="s">
        <v>553</v>
      </c>
      <c r="D84" s="409">
        <v>1000.0</v>
      </c>
      <c r="E84" s="410">
        <v>1300.0</v>
      </c>
      <c r="F84" s="409">
        <v>0.4</v>
      </c>
      <c r="G84" s="411"/>
      <c r="H84" s="412" t="str">
        <f t="shared" si="1"/>
        <v/>
      </c>
      <c r="I84" s="396"/>
      <c r="J84" s="396"/>
      <c r="K84" s="396"/>
      <c r="L84" s="396"/>
      <c r="M84" s="396"/>
      <c r="N84" s="396"/>
      <c r="O84" s="396"/>
      <c r="P84" s="396"/>
      <c r="Q84" s="396"/>
      <c r="R84" s="396"/>
      <c r="S84" s="396"/>
      <c r="T84" s="396"/>
      <c r="U84" s="396"/>
      <c r="V84" s="396"/>
      <c r="W84" s="396"/>
      <c r="X84" s="396"/>
      <c r="Y84" s="396"/>
      <c r="Z84" s="396"/>
    </row>
    <row r="85" ht="12.75" customHeight="1">
      <c r="A85" s="396"/>
      <c r="B85" s="415" t="s">
        <v>552</v>
      </c>
      <c r="C85" s="408" t="s">
        <v>553</v>
      </c>
      <c r="D85" s="409">
        <v>1200.0</v>
      </c>
      <c r="E85" s="410">
        <v>1300.0</v>
      </c>
      <c r="F85" s="409">
        <v>0.4</v>
      </c>
      <c r="G85" s="411"/>
      <c r="H85" s="412" t="str">
        <f t="shared" si="1"/>
        <v/>
      </c>
      <c r="I85" s="396"/>
      <c r="J85" s="396"/>
      <c r="K85" s="396"/>
      <c r="L85" s="396"/>
      <c r="M85" s="396"/>
      <c r="N85" s="396"/>
      <c r="O85" s="396"/>
      <c r="P85" s="396"/>
      <c r="Q85" s="396"/>
      <c r="R85" s="396"/>
      <c r="S85" s="396"/>
      <c r="T85" s="396"/>
      <c r="U85" s="396"/>
      <c r="V85" s="396"/>
      <c r="W85" s="396"/>
      <c r="X85" s="396"/>
      <c r="Y85" s="396"/>
      <c r="Z85" s="396"/>
    </row>
    <row r="86" ht="12.75" customHeight="1">
      <c r="A86" s="396"/>
      <c r="B86" s="415" t="s">
        <v>552</v>
      </c>
      <c r="C86" s="408" t="s">
        <v>553</v>
      </c>
      <c r="D86" s="409">
        <v>1400.0</v>
      </c>
      <c r="E86" s="410">
        <v>1300.0</v>
      </c>
      <c r="F86" s="409">
        <v>0.4</v>
      </c>
      <c r="G86" s="411"/>
      <c r="H86" s="412" t="str">
        <f t="shared" si="1"/>
        <v/>
      </c>
      <c r="I86" s="396"/>
      <c r="J86" s="396"/>
      <c r="K86" s="396"/>
      <c r="L86" s="396"/>
      <c r="M86" s="396"/>
      <c r="N86" s="396"/>
      <c r="O86" s="396"/>
      <c r="P86" s="396"/>
      <c r="Q86" s="396"/>
      <c r="R86" s="396"/>
      <c r="S86" s="396"/>
      <c r="T86" s="396"/>
      <c r="U86" s="396"/>
      <c r="V86" s="396"/>
      <c r="W86" s="396"/>
      <c r="X86" s="396"/>
      <c r="Y86" s="396"/>
      <c r="Z86" s="396"/>
    </row>
    <row r="87" ht="12.75" customHeight="1">
      <c r="A87" s="396"/>
      <c r="B87" s="415" t="s">
        <v>552</v>
      </c>
      <c r="C87" s="408" t="s">
        <v>553</v>
      </c>
      <c r="D87" s="409">
        <v>1650.0</v>
      </c>
      <c r="E87" s="410">
        <v>1300.0</v>
      </c>
      <c r="F87" s="409">
        <v>0.4</v>
      </c>
      <c r="G87" s="411"/>
      <c r="H87" s="412" t="str">
        <f t="shared" si="1"/>
        <v/>
      </c>
      <c r="I87" s="396"/>
      <c r="J87" s="396"/>
      <c r="K87" s="396"/>
      <c r="L87" s="396"/>
      <c r="M87" s="396"/>
      <c r="N87" s="396"/>
      <c r="O87" s="396"/>
      <c r="P87" s="396"/>
      <c r="Q87" s="396"/>
      <c r="R87" s="396"/>
      <c r="S87" s="396"/>
      <c r="T87" s="396"/>
      <c r="U87" s="396"/>
      <c r="V87" s="396"/>
      <c r="W87" s="396"/>
      <c r="X87" s="396"/>
      <c r="Y87" s="396"/>
      <c r="Z87" s="396"/>
    </row>
    <row r="88" ht="12.75" customHeight="1">
      <c r="A88" s="396"/>
      <c r="B88" s="415" t="s">
        <v>554</v>
      </c>
      <c r="C88" s="408" t="s">
        <v>555</v>
      </c>
      <c r="D88" s="409">
        <v>2100.0</v>
      </c>
      <c r="E88" s="410">
        <v>920.0</v>
      </c>
      <c r="F88" s="409">
        <v>0.7</v>
      </c>
      <c r="G88" s="414">
        <f>0.00938</f>
        <v>0.00938</v>
      </c>
      <c r="H88" s="412">
        <f t="shared" si="1"/>
        <v>21321.96162</v>
      </c>
      <c r="I88" s="396"/>
      <c r="J88" s="396"/>
      <c r="K88" s="396"/>
      <c r="L88" s="396"/>
      <c r="M88" s="396"/>
      <c r="N88" s="396"/>
      <c r="O88" s="396"/>
      <c r="P88" s="396"/>
      <c r="Q88" s="396"/>
      <c r="R88" s="396"/>
      <c r="S88" s="396"/>
      <c r="T88" s="396"/>
      <c r="U88" s="396"/>
      <c r="V88" s="396"/>
      <c r="W88" s="396"/>
      <c r="X88" s="396"/>
      <c r="Y88" s="396"/>
      <c r="Z88" s="396"/>
    </row>
    <row r="89" ht="12.75" customHeight="1">
      <c r="A89" s="396"/>
      <c r="B89" s="415" t="s">
        <v>554</v>
      </c>
      <c r="C89" s="408" t="s">
        <v>556</v>
      </c>
      <c r="D89" s="409">
        <v>2300.0</v>
      </c>
      <c r="E89" s="410">
        <v>880.0</v>
      </c>
      <c r="F89" s="409">
        <v>1.15</v>
      </c>
      <c r="G89" s="414">
        <f>0.09376</f>
        <v>0.09376</v>
      </c>
      <c r="H89" s="412">
        <f t="shared" si="1"/>
        <v>2133.105802</v>
      </c>
      <c r="I89" s="396"/>
      <c r="J89" s="396"/>
      <c r="K89" s="396"/>
      <c r="L89" s="396"/>
      <c r="M89" s="396"/>
      <c r="N89" s="396"/>
      <c r="O89" s="396"/>
      <c r="P89" s="396"/>
      <c r="Q89" s="396"/>
      <c r="R89" s="396"/>
      <c r="S89" s="396"/>
      <c r="T89" s="396"/>
      <c r="U89" s="396"/>
      <c r="V89" s="396"/>
      <c r="W89" s="396"/>
      <c r="X89" s="396"/>
      <c r="Y89" s="396"/>
      <c r="Z89" s="396"/>
    </row>
    <row r="90" ht="12.75" customHeight="1">
      <c r="A90" s="396"/>
      <c r="B90" s="415" t="s">
        <v>554</v>
      </c>
      <c r="C90" s="408" t="s">
        <v>557</v>
      </c>
      <c r="D90" s="409">
        <v>1200.0</v>
      </c>
      <c r="E90" s="410">
        <v>920.0</v>
      </c>
      <c r="F90" s="409">
        <v>0.17</v>
      </c>
      <c r="G90" s="414">
        <f>0.00976</f>
        <v>0.00976</v>
      </c>
      <c r="H90" s="412">
        <f t="shared" si="1"/>
        <v>20491.80328</v>
      </c>
      <c r="I90" s="396"/>
      <c r="J90" s="396"/>
      <c r="K90" s="396"/>
      <c r="L90" s="396"/>
      <c r="M90" s="396"/>
      <c r="N90" s="396"/>
      <c r="O90" s="396"/>
      <c r="P90" s="396"/>
      <c r="Q90" s="396"/>
      <c r="R90" s="396"/>
      <c r="S90" s="396"/>
      <c r="T90" s="396"/>
      <c r="U90" s="396"/>
      <c r="V90" s="396"/>
      <c r="W90" s="396"/>
      <c r="X90" s="396"/>
      <c r="Y90" s="396"/>
      <c r="Z90" s="396"/>
    </row>
    <row r="91" ht="12.75" customHeight="1">
      <c r="A91" s="396"/>
      <c r="B91" s="415" t="s">
        <v>554</v>
      </c>
      <c r="C91" s="408" t="s">
        <v>558</v>
      </c>
      <c r="D91" s="409">
        <v>1300.0</v>
      </c>
      <c r="E91" s="410">
        <v>880.0</v>
      </c>
      <c r="F91" s="409">
        <v>0.26</v>
      </c>
      <c r="G91" s="414">
        <f t="shared" ref="G91:G92" si="2">0.01875</f>
        <v>0.01875</v>
      </c>
      <c r="H91" s="412">
        <f t="shared" si="1"/>
        <v>10666.66667</v>
      </c>
      <c r="I91" s="396"/>
      <c r="J91" s="396"/>
      <c r="K91" s="396"/>
      <c r="L91" s="396"/>
      <c r="M91" s="396"/>
      <c r="N91" s="396"/>
      <c r="O91" s="396"/>
      <c r="P91" s="396"/>
      <c r="Q91" s="396"/>
      <c r="R91" s="396"/>
      <c r="S91" s="396"/>
      <c r="T91" s="396"/>
      <c r="U91" s="396"/>
      <c r="V91" s="396"/>
      <c r="W91" s="396"/>
      <c r="X91" s="396"/>
      <c r="Y91" s="396"/>
      <c r="Z91" s="396"/>
    </row>
    <row r="92" ht="12.75" customHeight="1">
      <c r="A92" s="396"/>
      <c r="B92" s="415" t="s">
        <v>554</v>
      </c>
      <c r="C92" s="408" t="s">
        <v>559</v>
      </c>
      <c r="D92" s="409">
        <v>1600.0</v>
      </c>
      <c r="E92" s="410">
        <v>880.0</v>
      </c>
      <c r="F92" s="409">
        <v>0.5</v>
      </c>
      <c r="G92" s="414">
        <f t="shared" si="2"/>
        <v>0.01875</v>
      </c>
      <c r="H92" s="412">
        <f t="shared" si="1"/>
        <v>10666.66667</v>
      </c>
      <c r="I92" s="396"/>
      <c r="J92" s="396"/>
      <c r="K92" s="396"/>
      <c r="L92" s="396"/>
      <c r="M92" s="396"/>
      <c r="N92" s="396"/>
      <c r="O92" s="396"/>
      <c r="P92" s="396"/>
      <c r="Q92" s="396"/>
      <c r="R92" s="396"/>
      <c r="S92" s="396"/>
      <c r="T92" s="396"/>
      <c r="U92" s="396"/>
      <c r="V92" s="396"/>
      <c r="W92" s="396"/>
      <c r="X92" s="396"/>
      <c r="Y92" s="396"/>
      <c r="Z92" s="396"/>
    </row>
    <row r="93" ht="12.75" customHeight="1">
      <c r="A93" s="396"/>
      <c r="B93" s="415" t="s">
        <v>554</v>
      </c>
      <c r="C93" s="408" t="s">
        <v>560</v>
      </c>
      <c r="D93" s="409">
        <v>1100.0</v>
      </c>
      <c r="E93" s="410">
        <v>1000.0</v>
      </c>
      <c r="F93" s="409">
        <v>0.23</v>
      </c>
      <c r="G93" s="411">
        <v>0.075</v>
      </c>
      <c r="H93" s="412">
        <f t="shared" si="1"/>
        <v>2666.666667</v>
      </c>
      <c r="I93" s="396"/>
      <c r="J93" s="396"/>
      <c r="K93" s="396"/>
      <c r="L93" s="396"/>
      <c r="M93" s="396"/>
      <c r="N93" s="396"/>
      <c r="O93" s="396"/>
      <c r="P93" s="396"/>
      <c r="Q93" s="396"/>
      <c r="R93" s="396"/>
      <c r="S93" s="396"/>
      <c r="T93" s="396"/>
      <c r="U93" s="396"/>
      <c r="V93" s="396"/>
      <c r="W93" s="396"/>
      <c r="X93" s="396"/>
      <c r="Y93" s="396"/>
      <c r="Z93" s="396"/>
    </row>
    <row r="94" ht="12.75" customHeight="1">
      <c r="A94" s="396"/>
      <c r="B94" s="415" t="s">
        <v>561</v>
      </c>
      <c r="C94" s="408" t="s">
        <v>562</v>
      </c>
      <c r="D94" s="409">
        <v>280.0</v>
      </c>
      <c r="E94" s="410">
        <v>920.0</v>
      </c>
      <c r="F94" s="409">
        <v>0.09</v>
      </c>
      <c r="G94" s="414">
        <v>62.61</v>
      </c>
      <c r="H94" s="412">
        <f t="shared" si="1"/>
        <v>3.194377895</v>
      </c>
      <c r="I94" s="396"/>
      <c r="J94" s="396"/>
      <c r="K94" s="396"/>
      <c r="L94" s="396"/>
      <c r="M94" s="396"/>
      <c r="N94" s="396"/>
      <c r="O94" s="396"/>
      <c r="P94" s="396"/>
      <c r="Q94" s="396"/>
      <c r="R94" s="396"/>
      <c r="S94" s="396"/>
      <c r="T94" s="396"/>
      <c r="U94" s="396"/>
      <c r="V94" s="396"/>
      <c r="W94" s="396"/>
      <c r="X94" s="396"/>
      <c r="Y94" s="396"/>
      <c r="Z94" s="396"/>
    </row>
    <row r="95" ht="12.75" customHeight="1">
      <c r="A95" s="396"/>
      <c r="B95" s="415" t="s">
        <v>561</v>
      </c>
      <c r="C95" s="408" t="s">
        <v>562</v>
      </c>
      <c r="D95" s="409">
        <v>330.0</v>
      </c>
      <c r="E95" s="410">
        <v>920.0</v>
      </c>
      <c r="F95" s="413">
        <v>0.1</v>
      </c>
      <c r="G95" s="414">
        <v>62.61</v>
      </c>
      <c r="H95" s="412">
        <f t="shared" si="1"/>
        <v>3.194377895</v>
      </c>
      <c r="I95" s="396"/>
      <c r="J95" s="396"/>
      <c r="K95" s="396"/>
      <c r="L95" s="396"/>
      <c r="M95" s="396"/>
      <c r="N95" s="396"/>
      <c r="O95" s="396"/>
      <c r="P95" s="396"/>
      <c r="Q95" s="396"/>
      <c r="R95" s="396"/>
      <c r="S95" s="396"/>
      <c r="T95" s="396"/>
      <c r="U95" s="396"/>
      <c r="V95" s="396"/>
      <c r="W95" s="396"/>
      <c r="X95" s="396"/>
      <c r="Y95" s="396"/>
      <c r="Z95" s="396"/>
    </row>
    <row r="96" ht="12.75" customHeight="1">
      <c r="A96" s="396"/>
      <c r="B96" s="415" t="s">
        <v>561</v>
      </c>
      <c r="C96" s="408" t="s">
        <v>562</v>
      </c>
      <c r="D96" s="409">
        <v>450.0</v>
      </c>
      <c r="E96" s="410">
        <v>920.0</v>
      </c>
      <c r="F96" s="409">
        <v>0.12</v>
      </c>
      <c r="G96" s="414">
        <v>62.61</v>
      </c>
      <c r="H96" s="412">
        <f t="shared" si="1"/>
        <v>3.194377895</v>
      </c>
      <c r="I96" s="396"/>
      <c r="J96" s="396"/>
      <c r="K96" s="396"/>
      <c r="L96" s="396"/>
      <c r="M96" s="396"/>
      <c r="N96" s="396"/>
      <c r="O96" s="396"/>
      <c r="P96" s="396"/>
      <c r="Q96" s="396"/>
      <c r="R96" s="396"/>
      <c r="S96" s="396"/>
      <c r="T96" s="396"/>
      <c r="U96" s="396"/>
      <c r="V96" s="396"/>
      <c r="W96" s="396"/>
      <c r="X96" s="396"/>
      <c r="Y96" s="396"/>
      <c r="Z96" s="396"/>
    </row>
    <row r="97" ht="12.75" customHeight="1">
      <c r="A97" s="396"/>
      <c r="B97" s="415" t="s">
        <v>561</v>
      </c>
      <c r="C97" s="408" t="s">
        <v>563</v>
      </c>
      <c r="D97" s="409">
        <v>32.0</v>
      </c>
      <c r="E97" s="410">
        <v>1300.0</v>
      </c>
      <c r="F97" s="409">
        <v>0.058</v>
      </c>
      <c r="G97" s="414">
        <v>62.51</v>
      </c>
      <c r="H97" s="412">
        <f t="shared" si="1"/>
        <v>3.199488082</v>
      </c>
      <c r="I97" s="396"/>
      <c r="J97" s="396"/>
      <c r="K97" s="396"/>
      <c r="L97" s="396"/>
      <c r="M97" s="396"/>
      <c r="N97" s="396"/>
      <c r="O97" s="396"/>
      <c r="P97" s="396"/>
      <c r="Q97" s="396"/>
      <c r="R97" s="396"/>
      <c r="S97" s="396"/>
      <c r="T97" s="396"/>
      <c r="U97" s="396"/>
      <c r="V97" s="396"/>
      <c r="W97" s="396"/>
      <c r="X97" s="396"/>
      <c r="Y97" s="396"/>
      <c r="Z97" s="396"/>
    </row>
    <row r="98" ht="12.75" customHeight="1">
      <c r="A98" s="396"/>
      <c r="B98" s="415" t="s">
        <v>561</v>
      </c>
      <c r="C98" s="408" t="s">
        <v>564</v>
      </c>
      <c r="D98" s="409">
        <v>100.0</v>
      </c>
      <c r="E98" s="410">
        <v>840.0</v>
      </c>
      <c r="F98" s="409">
        <v>0.066</v>
      </c>
      <c r="G98" s="414">
        <v>62.51</v>
      </c>
      <c r="H98" s="412">
        <f t="shared" si="1"/>
        <v>3.199488082</v>
      </c>
      <c r="I98" s="396"/>
      <c r="J98" s="396"/>
      <c r="K98" s="396"/>
      <c r="L98" s="396"/>
      <c r="M98" s="396"/>
      <c r="N98" s="396"/>
      <c r="O98" s="396"/>
      <c r="P98" s="396"/>
      <c r="Q98" s="396"/>
      <c r="R98" s="396"/>
      <c r="S98" s="396"/>
      <c r="T98" s="396"/>
      <c r="U98" s="396"/>
      <c r="V98" s="396"/>
      <c r="W98" s="396"/>
      <c r="X98" s="396"/>
      <c r="Y98" s="396"/>
      <c r="Z98" s="396"/>
    </row>
    <row r="99" ht="12.75" customHeight="1">
      <c r="A99" s="396"/>
      <c r="B99" s="415" t="s">
        <v>561</v>
      </c>
      <c r="C99" s="408" t="s">
        <v>565</v>
      </c>
      <c r="D99" s="409">
        <v>15.0</v>
      </c>
      <c r="E99" s="410"/>
      <c r="F99" s="409">
        <v>0.054</v>
      </c>
      <c r="G99" s="411"/>
      <c r="H99" s="412" t="str">
        <f t="shared" si="1"/>
        <v/>
      </c>
      <c r="I99" s="396"/>
      <c r="J99" s="396"/>
      <c r="K99" s="396"/>
      <c r="L99" s="396"/>
      <c r="M99" s="396"/>
      <c r="N99" s="396"/>
      <c r="O99" s="396"/>
      <c r="P99" s="396"/>
      <c r="Q99" s="396"/>
      <c r="R99" s="396"/>
      <c r="S99" s="396"/>
      <c r="T99" s="396"/>
      <c r="U99" s="396"/>
      <c r="V99" s="396"/>
      <c r="W99" s="396"/>
      <c r="X99" s="396"/>
      <c r="Y99" s="396"/>
      <c r="Z99" s="396"/>
    </row>
    <row r="100" ht="12.75" customHeight="1">
      <c r="A100" s="396"/>
      <c r="B100" s="415" t="s">
        <v>561</v>
      </c>
      <c r="C100" s="408" t="s">
        <v>566</v>
      </c>
      <c r="D100" s="409">
        <v>600.0</v>
      </c>
      <c r="E100" s="410">
        <v>840.0</v>
      </c>
      <c r="F100" s="409">
        <v>0.13</v>
      </c>
      <c r="G100" s="411">
        <v>62.51</v>
      </c>
      <c r="H100" s="412">
        <f t="shared" si="1"/>
        <v>3.199488082</v>
      </c>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15" t="s">
        <v>561</v>
      </c>
      <c r="C101" s="408" t="s">
        <v>567</v>
      </c>
      <c r="D101" s="409">
        <v>80.0</v>
      </c>
      <c r="E101" s="410">
        <v>840.0</v>
      </c>
      <c r="F101" s="409">
        <v>0.077</v>
      </c>
      <c r="G101" s="414">
        <v>62.51</v>
      </c>
      <c r="H101" s="412">
        <f t="shared" si="1"/>
        <v>3.199488082</v>
      </c>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15" t="s">
        <v>561</v>
      </c>
      <c r="C102" s="408" t="s">
        <v>567</v>
      </c>
      <c r="D102" s="409">
        <v>120.0</v>
      </c>
      <c r="E102" s="410">
        <v>840.0</v>
      </c>
      <c r="F102" s="409">
        <v>0.082</v>
      </c>
      <c r="G102" s="414">
        <v>62.51</v>
      </c>
      <c r="H102" s="412">
        <f t="shared" si="1"/>
        <v>3.199488082</v>
      </c>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15" t="s">
        <v>561</v>
      </c>
      <c r="C103" s="408" t="s">
        <v>568</v>
      </c>
      <c r="D103" s="409">
        <v>1500.0</v>
      </c>
      <c r="E103" s="410">
        <v>840.0</v>
      </c>
      <c r="F103" s="409">
        <v>0.7</v>
      </c>
      <c r="G103" s="414">
        <v>37.5</v>
      </c>
      <c r="H103" s="412">
        <f t="shared" si="1"/>
        <v>5.333333333</v>
      </c>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15" t="s">
        <v>561</v>
      </c>
      <c r="C104" s="408" t="s">
        <v>569</v>
      </c>
      <c r="D104" s="409">
        <v>1700.0</v>
      </c>
      <c r="E104" s="410">
        <v>840.0</v>
      </c>
      <c r="F104" s="409">
        <v>1.2</v>
      </c>
      <c r="G104" s="414">
        <v>37.5</v>
      </c>
      <c r="H104" s="412">
        <f t="shared" si="1"/>
        <v>5.333333333</v>
      </c>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15" t="s">
        <v>561</v>
      </c>
      <c r="C105" s="408" t="s">
        <v>570</v>
      </c>
      <c r="D105" s="409">
        <v>1700.0</v>
      </c>
      <c r="E105" s="410">
        <v>840.0</v>
      </c>
      <c r="F105" s="409">
        <v>0.6</v>
      </c>
      <c r="G105" s="414">
        <v>12.5</v>
      </c>
      <c r="H105" s="412">
        <f t="shared" si="1"/>
        <v>16</v>
      </c>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19" t="s">
        <v>561</v>
      </c>
      <c r="C106" s="418" t="s">
        <v>571</v>
      </c>
      <c r="D106" s="410">
        <v>400.0</v>
      </c>
      <c r="E106" s="410">
        <v>840.0</v>
      </c>
      <c r="F106" s="410">
        <v>0.08</v>
      </c>
      <c r="G106" s="414">
        <v>62.51</v>
      </c>
      <c r="H106" s="412">
        <f t="shared" si="1"/>
        <v>3.199488082</v>
      </c>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15" t="s">
        <v>572</v>
      </c>
      <c r="C107" s="408" t="s">
        <v>573</v>
      </c>
      <c r="D107" s="409">
        <v>30.0</v>
      </c>
      <c r="E107" s="410">
        <v>1300.0</v>
      </c>
      <c r="F107" s="409">
        <v>0.039</v>
      </c>
      <c r="G107" s="411">
        <v>1.5</v>
      </c>
      <c r="H107" s="412">
        <f t="shared" si="1"/>
        <v>133.3333333</v>
      </c>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15" t="s">
        <v>572</v>
      </c>
      <c r="C108" s="408" t="s">
        <v>573</v>
      </c>
      <c r="D108" s="409">
        <v>40.0</v>
      </c>
      <c r="E108" s="410">
        <v>1300.0</v>
      </c>
      <c r="F108" s="409">
        <v>0.041</v>
      </c>
      <c r="G108" s="411">
        <v>1.5</v>
      </c>
      <c r="H108" s="412">
        <f t="shared" si="1"/>
        <v>133.3333333</v>
      </c>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15" t="s">
        <v>572</v>
      </c>
      <c r="C109" s="408" t="s">
        <v>574</v>
      </c>
      <c r="D109" s="409">
        <v>30.0</v>
      </c>
      <c r="E109" s="410">
        <v>2100.0</v>
      </c>
      <c r="F109" s="417">
        <v>0.05</v>
      </c>
      <c r="G109" s="414">
        <v>0.938</v>
      </c>
      <c r="H109" s="412">
        <f t="shared" si="1"/>
        <v>213.2196162</v>
      </c>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15" t="s">
        <v>572</v>
      </c>
      <c r="C110" s="408" t="s">
        <v>574</v>
      </c>
      <c r="D110" s="409">
        <v>50.0</v>
      </c>
      <c r="E110" s="410">
        <v>2100.0</v>
      </c>
      <c r="F110" s="417">
        <v>0.06</v>
      </c>
      <c r="G110" s="414">
        <v>0.938</v>
      </c>
      <c r="H110" s="412">
        <f t="shared" si="1"/>
        <v>213.2196162</v>
      </c>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15" t="s">
        <v>572</v>
      </c>
      <c r="C111" s="408" t="s">
        <v>575</v>
      </c>
      <c r="D111" s="409">
        <v>33.0</v>
      </c>
      <c r="E111" s="410">
        <v>2100.0</v>
      </c>
      <c r="F111" s="409">
        <v>0.048</v>
      </c>
      <c r="G111" s="414">
        <v>0.938</v>
      </c>
      <c r="H111" s="412">
        <f t="shared" si="1"/>
        <v>213.2196162</v>
      </c>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15" t="s">
        <v>572</v>
      </c>
      <c r="C112" s="408" t="s">
        <v>575</v>
      </c>
      <c r="D112" s="409">
        <v>50.0</v>
      </c>
      <c r="E112" s="410">
        <v>2100.0</v>
      </c>
      <c r="F112" s="409">
        <v>0.058</v>
      </c>
      <c r="G112" s="414">
        <v>0.938</v>
      </c>
      <c r="H112" s="412">
        <f t="shared" si="1"/>
        <v>213.2196162</v>
      </c>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15" t="s">
        <v>572</v>
      </c>
      <c r="C113" s="408" t="s">
        <v>576</v>
      </c>
      <c r="D113" s="409">
        <v>15.0</v>
      </c>
      <c r="E113" s="410">
        <v>1250.0</v>
      </c>
      <c r="F113" s="409">
        <v>0.045</v>
      </c>
      <c r="G113" s="411">
        <v>6.3</v>
      </c>
      <c r="H113" s="412">
        <f t="shared" si="1"/>
        <v>31.74603175</v>
      </c>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15" t="s">
        <v>572</v>
      </c>
      <c r="C114" s="408" t="s">
        <v>577</v>
      </c>
      <c r="D114" s="409">
        <v>20.0</v>
      </c>
      <c r="E114" s="410">
        <v>1250.0</v>
      </c>
      <c r="F114" s="409">
        <v>0.041</v>
      </c>
      <c r="G114" s="411">
        <v>4.25</v>
      </c>
      <c r="H114" s="412">
        <f t="shared" si="1"/>
        <v>47.05882353</v>
      </c>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15" t="s">
        <v>572</v>
      </c>
      <c r="C115" s="408" t="s">
        <v>577</v>
      </c>
      <c r="D115" s="409">
        <v>25.0</v>
      </c>
      <c r="E115" s="410">
        <v>1250.0</v>
      </c>
      <c r="F115" s="417">
        <v>0.04</v>
      </c>
      <c r="G115" s="411">
        <v>4.25</v>
      </c>
      <c r="H115" s="412">
        <f t="shared" si="1"/>
        <v>47.05882353</v>
      </c>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15" t="s">
        <v>572</v>
      </c>
      <c r="C116" s="408" t="s">
        <v>577</v>
      </c>
      <c r="D116" s="409">
        <v>30.0</v>
      </c>
      <c r="E116" s="410">
        <v>1250.0</v>
      </c>
      <c r="F116" s="417">
        <v>0.04</v>
      </c>
      <c r="G116" s="411">
        <v>3.15</v>
      </c>
      <c r="H116" s="412">
        <f t="shared" si="1"/>
        <v>63.49206349</v>
      </c>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15" t="s">
        <v>572</v>
      </c>
      <c r="C117" s="408" t="s">
        <v>578</v>
      </c>
      <c r="D117" s="409">
        <v>10.0</v>
      </c>
      <c r="E117" s="410">
        <v>1250.0</v>
      </c>
      <c r="F117" s="417">
        <v>0.059</v>
      </c>
      <c r="G117" s="411">
        <v>6.3</v>
      </c>
      <c r="H117" s="412">
        <f t="shared" si="1"/>
        <v>31.74603175</v>
      </c>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15" t="s">
        <v>572</v>
      </c>
      <c r="C118" s="408" t="s">
        <v>578</v>
      </c>
      <c r="D118" s="409">
        <v>15.0</v>
      </c>
      <c r="E118" s="410">
        <v>1250.0</v>
      </c>
      <c r="F118" s="417">
        <v>0.047</v>
      </c>
      <c r="G118" s="411">
        <v>4.25</v>
      </c>
      <c r="H118" s="412">
        <f t="shared" si="1"/>
        <v>47.05882353</v>
      </c>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15" t="s">
        <v>572</v>
      </c>
      <c r="C119" s="408" t="s">
        <v>578</v>
      </c>
      <c r="D119" s="409">
        <v>20.0</v>
      </c>
      <c r="E119" s="410">
        <v>1250.0</v>
      </c>
      <c r="F119" s="417">
        <v>0.044</v>
      </c>
      <c r="G119" s="411">
        <v>3.15</v>
      </c>
      <c r="H119" s="412">
        <f t="shared" si="1"/>
        <v>63.49206349</v>
      </c>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15" t="s">
        <v>572</v>
      </c>
      <c r="C120" s="408" t="s">
        <v>578</v>
      </c>
      <c r="D120" s="409">
        <v>25.0</v>
      </c>
      <c r="E120" s="410">
        <v>1250.0</v>
      </c>
      <c r="F120" s="417">
        <v>0.042</v>
      </c>
      <c r="G120" s="411">
        <v>3.15</v>
      </c>
      <c r="H120" s="412">
        <f t="shared" si="1"/>
        <v>63.49206349</v>
      </c>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15" t="s">
        <v>572</v>
      </c>
      <c r="C121" s="408" t="s">
        <v>578</v>
      </c>
      <c r="D121" s="409">
        <v>30.0</v>
      </c>
      <c r="E121" s="410">
        <v>1250.0</v>
      </c>
      <c r="F121" s="417">
        <v>0.042</v>
      </c>
      <c r="G121" s="411">
        <v>3.15</v>
      </c>
      <c r="H121" s="412">
        <f t="shared" si="1"/>
        <v>63.49206349</v>
      </c>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15" t="s">
        <v>572</v>
      </c>
      <c r="C122" s="408" t="s">
        <v>579</v>
      </c>
      <c r="D122" s="409">
        <v>20.0</v>
      </c>
      <c r="E122" s="410">
        <v>1250.0</v>
      </c>
      <c r="F122" s="417">
        <v>0.04</v>
      </c>
      <c r="G122" s="414">
        <v>2.0</v>
      </c>
      <c r="H122" s="412">
        <f t="shared" si="1"/>
        <v>100</v>
      </c>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15" t="s">
        <v>572</v>
      </c>
      <c r="C123" s="408" t="s">
        <v>579</v>
      </c>
      <c r="D123" s="409">
        <v>25.0</v>
      </c>
      <c r="E123" s="410">
        <v>1250.0</v>
      </c>
      <c r="F123" s="409">
        <v>0.039</v>
      </c>
      <c r="G123" s="414">
        <v>1.8</v>
      </c>
      <c r="H123" s="412">
        <f t="shared" si="1"/>
        <v>111.1111111</v>
      </c>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15" t="s">
        <v>572</v>
      </c>
      <c r="C124" s="408" t="s">
        <v>579</v>
      </c>
      <c r="D124" s="409">
        <v>30.0</v>
      </c>
      <c r="E124" s="410">
        <v>1250.0</v>
      </c>
      <c r="F124" s="409">
        <v>0.039</v>
      </c>
      <c r="G124" s="414">
        <v>1.5</v>
      </c>
      <c r="H124" s="412">
        <f t="shared" si="1"/>
        <v>133.3333333</v>
      </c>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15" t="s">
        <v>572</v>
      </c>
      <c r="C125" s="408" t="s">
        <v>580</v>
      </c>
      <c r="D125" s="409">
        <v>30.0</v>
      </c>
      <c r="E125" s="410">
        <v>1250.0</v>
      </c>
      <c r="F125" s="409">
        <v>0.036</v>
      </c>
      <c r="G125" s="414">
        <v>1.042</v>
      </c>
      <c r="H125" s="412">
        <f t="shared" si="1"/>
        <v>191.9385797</v>
      </c>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15" t="s">
        <v>572</v>
      </c>
      <c r="C126" s="408" t="s">
        <v>580</v>
      </c>
      <c r="D126" s="409">
        <v>35.0</v>
      </c>
      <c r="E126" s="410">
        <v>1250.0</v>
      </c>
      <c r="F126" s="409">
        <v>0.035</v>
      </c>
      <c r="G126" s="414">
        <v>0.938</v>
      </c>
      <c r="H126" s="412">
        <f t="shared" si="1"/>
        <v>213.2196162</v>
      </c>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15" t="s">
        <v>572</v>
      </c>
      <c r="C127" s="408" t="s">
        <v>581</v>
      </c>
      <c r="D127" s="409">
        <v>30.0</v>
      </c>
      <c r="E127" s="410">
        <v>1250.0</v>
      </c>
      <c r="F127" s="409">
        <v>0.041</v>
      </c>
      <c r="G127" s="411">
        <v>1.4</v>
      </c>
      <c r="H127" s="412">
        <f t="shared" si="1"/>
        <v>142.8571429</v>
      </c>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15" t="s">
        <v>572</v>
      </c>
      <c r="C128" s="408" t="s">
        <v>581</v>
      </c>
      <c r="D128" s="409">
        <v>50.0</v>
      </c>
      <c r="E128" s="410">
        <v>1250.0</v>
      </c>
      <c r="F128" s="409">
        <v>0.034</v>
      </c>
      <c r="G128" s="411">
        <v>1.4</v>
      </c>
      <c r="H128" s="412">
        <f t="shared" si="1"/>
        <v>142.8571429</v>
      </c>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15" t="s">
        <v>572</v>
      </c>
      <c r="C129" s="408" t="s">
        <v>582</v>
      </c>
      <c r="D129" s="409">
        <v>25.0</v>
      </c>
      <c r="E129" s="410">
        <v>1250.0</v>
      </c>
      <c r="F129" s="409">
        <v>0.034</v>
      </c>
      <c r="G129" s="411">
        <v>1.5</v>
      </c>
      <c r="H129" s="412">
        <f t="shared" si="1"/>
        <v>133.3333333</v>
      </c>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15" t="s">
        <v>572</v>
      </c>
      <c r="C130" s="408" t="s">
        <v>582</v>
      </c>
      <c r="D130" s="409">
        <v>32.0</v>
      </c>
      <c r="E130" s="410">
        <v>1250.0</v>
      </c>
      <c r="F130" s="409">
        <v>0.032</v>
      </c>
      <c r="G130" s="411">
        <v>1.5</v>
      </c>
      <c r="H130" s="412">
        <f t="shared" si="1"/>
        <v>133.3333333</v>
      </c>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15" t="s">
        <v>572</v>
      </c>
      <c r="C131" s="408" t="s">
        <v>582</v>
      </c>
      <c r="D131" s="409">
        <v>40.0</v>
      </c>
      <c r="E131" s="410">
        <v>1250.0</v>
      </c>
      <c r="F131" s="409">
        <v>0.032</v>
      </c>
      <c r="G131" s="411">
        <v>1.5</v>
      </c>
      <c r="H131" s="412">
        <f t="shared" si="1"/>
        <v>133.3333333</v>
      </c>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15" t="s">
        <v>572</v>
      </c>
      <c r="C132" s="408" t="s">
        <v>582</v>
      </c>
      <c r="D132" s="409">
        <v>50.0</v>
      </c>
      <c r="E132" s="410">
        <v>1250.0</v>
      </c>
      <c r="F132" s="409">
        <v>0.032</v>
      </c>
      <c r="G132" s="411">
        <v>1.5</v>
      </c>
      <c r="H132" s="412">
        <f t="shared" si="1"/>
        <v>133.3333333</v>
      </c>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15" t="s">
        <v>572</v>
      </c>
      <c r="C133" s="408" t="s">
        <v>583</v>
      </c>
      <c r="D133" s="409">
        <v>32.0</v>
      </c>
      <c r="E133" s="410">
        <v>1250.0</v>
      </c>
      <c r="F133" s="409">
        <v>0.032</v>
      </c>
      <c r="G133" s="411">
        <v>1.5</v>
      </c>
      <c r="H133" s="412">
        <f t="shared" si="1"/>
        <v>133.3333333</v>
      </c>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15" t="s">
        <v>572</v>
      </c>
      <c r="C134" s="408" t="s">
        <v>583</v>
      </c>
      <c r="D134" s="409">
        <v>40.0</v>
      </c>
      <c r="E134" s="410">
        <v>1250.0</v>
      </c>
      <c r="F134" s="409">
        <v>0.032</v>
      </c>
      <c r="G134" s="411">
        <v>1.5</v>
      </c>
      <c r="H134" s="412">
        <f t="shared" si="1"/>
        <v>133.3333333</v>
      </c>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15" t="s">
        <v>572</v>
      </c>
      <c r="C135" s="408" t="s">
        <v>584</v>
      </c>
      <c r="D135" s="409">
        <v>37.0</v>
      </c>
      <c r="E135" s="410">
        <v>1300.0</v>
      </c>
      <c r="F135" s="409">
        <v>0.035</v>
      </c>
      <c r="G135" s="411">
        <v>3.9</v>
      </c>
      <c r="H135" s="412">
        <f t="shared" si="1"/>
        <v>51.28205128</v>
      </c>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15" t="s">
        <v>572</v>
      </c>
      <c r="C136" s="408" t="s">
        <v>585</v>
      </c>
      <c r="D136" s="409">
        <v>35.0</v>
      </c>
      <c r="E136" s="410">
        <v>1300.0</v>
      </c>
      <c r="F136" s="409">
        <v>0.041</v>
      </c>
      <c r="G136" s="411">
        <v>4.8</v>
      </c>
      <c r="H136" s="412">
        <f t="shared" si="1"/>
        <v>41.66666667</v>
      </c>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15" t="s">
        <v>572</v>
      </c>
      <c r="C137" s="408" t="s">
        <v>585</v>
      </c>
      <c r="D137" s="409">
        <v>60.0</v>
      </c>
      <c r="E137" s="410">
        <v>1300.0</v>
      </c>
      <c r="F137" s="409">
        <v>0.044</v>
      </c>
      <c r="G137" s="411">
        <v>4.8</v>
      </c>
      <c r="H137" s="412">
        <f t="shared" si="1"/>
        <v>41.66666667</v>
      </c>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15" t="s">
        <v>572</v>
      </c>
      <c r="C138" s="408" t="s">
        <v>585</v>
      </c>
      <c r="D138" s="409">
        <v>80.0</v>
      </c>
      <c r="E138" s="410">
        <v>1300.0</v>
      </c>
      <c r="F138" s="409">
        <v>0.046</v>
      </c>
      <c r="G138" s="411">
        <v>4.8</v>
      </c>
      <c r="H138" s="412">
        <f t="shared" si="1"/>
        <v>41.66666667</v>
      </c>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15" t="s">
        <v>572</v>
      </c>
      <c r="C139" s="408" t="s">
        <v>586</v>
      </c>
      <c r="D139" s="409">
        <v>8.0</v>
      </c>
      <c r="E139" s="410">
        <v>1250.0</v>
      </c>
      <c r="F139" s="409">
        <v>0.057</v>
      </c>
      <c r="G139" s="411">
        <v>85.0</v>
      </c>
      <c r="H139" s="412">
        <f t="shared" si="1"/>
        <v>2.352941176</v>
      </c>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15" t="s">
        <v>572</v>
      </c>
      <c r="C140" s="408" t="s">
        <v>586</v>
      </c>
      <c r="D140" s="409">
        <v>12.0</v>
      </c>
      <c r="E140" s="410">
        <v>1250.0</v>
      </c>
      <c r="F140" s="409">
        <v>0.054</v>
      </c>
      <c r="G140" s="411">
        <v>85.0</v>
      </c>
      <c r="H140" s="412">
        <f t="shared" si="1"/>
        <v>2.352941176</v>
      </c>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15" t="s">
        <v>572</v>
      </c>
      <c r="C141" s="408" t="s">
        <v>586</v>
      </c>
      <c r="D141" s="409">
        <v>15.0</v>
      </c>
      <c r="E141" s="410">
        <v>1250.0</v>
      </c>
      <c r="F141" s="409">
        <v>0.051</v>
      </c>
      <c r="G141" s="411">
        <v>85.0</v>
      </c>
      <c r="H141" s="412">
        <f t="shared" si="1"/>
        <v>2.352941176</v>
      </c>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15" t="s">
        <v>572</v>
      </c>
      <c r="C142" s="408" t="s">
        <v>586</v>
      </c>
      <c r="D142" s="409">
        <v>30.0</v>
      </c>
      <c r="E142" s="410">
        <v>1250.0</v>
      </c>
      <c r="F142" s="409">
        <v>0.048</v>
      </c>
      <c r="G142" s="411">
        <v>85.0</v>
      </c>
      <c r="H142" s="412">
        <f t="shared" si="1"/>
        <v>2.352941176</v>
      </c>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15" t="s">
        <v>587</v>
      </c>
      <c r="C143" s="408" t="s">
        <v>588</v>
      </c>
      <c r="D143" s="409">
        <v>1050.0</v>
      </c>
      <c r="E143" s="410">
        <v>1550.0</v>
      </c>
      <c r="F143" s="409">
        <v>0.28</v>
      </c>
      <c r="G143" s="411"/>
      <c r="H143" s="412" t="str">
        <f t="shared" si="1"/>
        <v/>
      </c>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15" t="s">
        <v>587</v>
      </c>
      <c r="C144" s="408" t="s">
        <v>589</v>
      </c>
      <c r="D144" s="409">
        <v>1500.0</v>
      </c>
      <c r="E144" s="410"/>
      <c r="F144" s="409">
        <v>0.4</v>
      </c>
      <c r="G144" s="414">
        <v>6.25</v>
      </c>
      <c r="H144" s="412">
        <f t="shared" si="1"/>
        <v>32</v>
      </c>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15" t="s">
        <v>587</v>
      </c>
      <c r="C145" s="408" t="s">
        <v>590</v>
      </c>
      <c r="D145" s="409">
        <v>1350.0</v>
      </c>
      <c r="E145" s="410">
        <v>1700.0</v>
      </c>
      <c r="F145" s="409">
        <v>0.35</v>
      </c>
      <c r="G145" s="411"/>
      <c r="H145" s="412" t="str">
        <f t="shared" si="1"/>
        <v/>
      </c>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15" t="s">
        <v>587</v>
      </c>
      <c r="C146" s="408" t="s">
        <v>591</v>
      </c>
      <c r="D146" s="409">
        <v>1150.0</v>
      </c>
      <c r="E146" s="410">
        <v>1700.0</v>
      </c>
      <c r="F146" s="409">
        <v>0.16</v>
      </c>
      <c r="G146" s="414">
        <v>9.38</v>
      </c>
      <c r="H146" s="412">
        <f t="shared" si="1"/>
        <v>21.32196162</v>
      </c>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15" t="s">
        <v>587</v>
      </c>
      <c r="C147" s="408" t="s">
        <v>592</v>
      </c>
      <c r="D147" s="409">
        <v>1200.0</v>
      </c>
      <c r="E147" s="410"/>
      <c r="F147" s="409">
        <v>0.18</v>
      </c>
      <c r="G147" s="411"/>
      <c r="H147" s="412" t="str">
        <f t="shared" si="1"/>
        <v/>
      </c>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15" t="s">
        <v>587</v>
      </c>
      <c r="C148" s="408" t="s">
        <v>593</v>
      </c>
      <c r="D148" s="409">
        <v>1100.0</v>
      </c>
      <c r="E148" s="410"/>
      <c r="F148" s="409">
        <v>0.3</v>
      </c>
      <c r="G148" s="411"/>
      <c r="H148" s="412" t="str">
        <f t="shared" si="1"/>
        <v/>
      </c>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15" t="s">
        <v>587</v>
      </c>
      <c r="C149" s="408" t="s">
        <v>594</v>
      </c>
      <c r="D149" s="409">
        <v>1150.0</v>
      </c>
      <c r="E149" s="410"/>
      <c r="F149" s="409">
        <v>0.23</v>
      </c>
      <c r="G149" s="411"/>
      <c r="H149" s="412" t="str">
        <f t="shared" si="1"/>
        <v/>
      </c>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15" t="s">
        <v>587</v>
      </c>
      <c r="C150" s="408" t="s">
        <v>595</v>
      </c>
      <c r="D150" s="409">
        <v>2200.0</v>
      </c>
      <c r="E150" s="410">
        <v>920.0</v>
      </c>
      <c r="F150" s="409">
        <v>0.24</v>
      </c>
      <c r="G150" s="411"/>
      <c r="H150" s="412" t="str">
        <f t="shared" si="1"/>
        <v/>
      </c>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15" t="s">
        <v>587</v>
      </c>
      <c r="C151" s="408" t="s">
        <v>596</v>
      </c>
      <c r="D151" s="409">
        <v>950.0</v>
      </c>
      <c r="E151" s="410">
        <v>2100.0</v>
      </c>
      <c r="F151" s="409">
        <v>0.35</v>
      </c>
      <c r="G151" s="414">
        <v>3.75</v>
      </c>
      <c r="H151" s="412">
        <f t="shared" si="1"/>
        <v>53.33333333</v>
      </c>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15" t="s">
        <v>587</v>
      </c>
      <c r="C152" s="408" t="s">
        <v>597</v>
      </c>
      <c r="D152" s="409">
        <v>1400.0</v>
      </c>
      <c r="E152" s="410">
        <v>1300.0</v>
      </c>
      <c r="F152" s="409">
        <v>0.16</v>
      </c>
      <c r="G152" s="414">
        <v>18.75</v>
      </c>
      <c r="H152" s="412">
        <f t="shared" si="1"/>
        <v>10.66666667</v>
      </c>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15" t="s">
        <v>587</v>
      </c>
      <c r="C153" s="408" t="s">
        <v>598</v>
      </c>
      <c r="D153" s="409">
        <v>1100.0</v>
      </c>
      <c r="E153" s="410">
        <v>1250.0</v>
      </c>
      <c r="F153" s="409">
        <v>0.17</v>
      </c>
      <c r="G153" s="414"/>
      <c r="H153" s="412" t="str">
        <f t="shared" si="1"/>
        <v/>
      </c>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15" t="s">
        <v>587</v>
      </c>
      <c r="C154" s="408" t="s">
        <v>599</v>
      </c>
      <c r="D154" s="409">
        <v>1450.0</v>
      </c>
      <c r="E154" s="410">
        <v>920.0</v>
      </c>
      <c r="F154" s="409">
        <v>0.2</v>
      </c>
      <c r="G154" s="414"/>
      <c r="H154" s="412" t="str">
        <f t="shared" si="1"/>
        <v/>
      </c>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15" t="s">
        <v>587</v>
      </c>
      <c r="C155" s="408" t="s">
        <v>600</v>
      </c>
      <c r="D155" s="409">
        <v>1200.0</v>
      </c>
      <c r="E155" s="410"/>
      <c r="F155" s="409">
        <v>0.2</v>
      </c>
      <c r="G155" s="414">
        <v>2.88</v>
      </c>
      <c r="H155" s="412">
        <f t="shared" si="1"/>
        <v>69.44444444</v>
      </c>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15" t="s">
        <v>587</v>
      </c>
      <c r="C156" s="408" t="s">
        <v>601</v>
      </c>
      <c r="D156" s="409">
        <v>1400.0</v>
      </c>
      <c r="E156" s="410">
        <v>1300.0</v>
      </c>
      <c r="F156" s="409">
        <v>0.3</v>
      </c>
      <c r="G156" s="411"/>
      <c r="H156" s="412" t="str">
        <f t="shared" si="1"/>
        <v/>
      </c>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15" t="s">
        <v>587</v>
      </c>
      <c r="C157" s="408" t="s">
        <v>602</v>
      </c>
      <c r="D157" s="409">
        <v>2000.0</v>
      </c>
      <c r="E157" s="410">
        <v>1300.0</v>
      </c>
      <c r="F157" s="409">
        <v>0.5</v>
      </c>
      <c r="G157" s="414">
        <v>3.75</v>
      </c>
      <c r="H157" s="412">
        <f t="shared" si="1"/>
        <v>53.33333333</v>
      </c>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15" t="s">
        <v>603</v>
      </c>
      <c r="C158" s="408" t="s">
        <v>604</v>
      </c>
      <c r="D158" s="409">
        <v>7800.0</v>
      </c>
      <c r="E158" s="410"/>
      <c r="F158" s="409">
        <v>52.0</v>
      </c>
      <c r="G158" s="411"/>
      <c r="H158" s="412" t="str">
        <f t="shared" si="1"/>
        <v/>
      </c>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15" t="s">
        <v>603</v>
      </c>
      <c r="C159" s="408" t="s">
        <v>605</v>
      </c>
      <c r="D159" s="409">
        <v>8000.0</v>
      </c>
      <c r="E159" s="410">
        <v>500.0</v>
      </c>
      <c r="F159" s="409">
        <v>17.0</v>
      </c>
      <c r="G159" s="411"/>
      <c r="H159" s="412" t="str">
        <f t="shared" si="1"/>
        <v/>
      </c>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15" t="s">
        <v>603</v>
      </c>
      <c r="C160" s="408" t="s">
        <v>606</v>
      </c>
      <c r="D160" s="409">
        <v>10500.0</v>
      </c>
      <c r="E160" s="410">
        <v>230.0</v>
      </c>
      <c r="F160" s="409">
        <v>420.0</v>
      </c>
      <c r="G160" s="411"/>
      <c r="H160" s="412" t="str">
        <f t="shared" si="1"/>
        <v/>
      </c>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15" t="s">
        <v>603</v>
      </c>
      <c r="C161" s="408" t="s">
        <v>607</v>
      </c>
      <c r="D161" s="409">
        <v>2700.0</v>
      </c>
      <c r="E161" s="410">
        <v>960.0</v>
      </c>
      <c r="F161" s="409">
        <v>220.0</v>
      </c>
      <c r="G161" s="414">
        <v>94.0</v>
      </c>
      <c r="H161" s="412">
        <f t="shared" si="1"/>
        <v>2.127659574</v>
      </c>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15" t="s">
        <v>603</v>
      </c>
      <c r="C162" s="408" t="s">
        <v>608</v>
      </c>
      <c r="D162" s="409">
        <v>2800.0</v>
      </c>
      <c r="E162" s="410">
        <v>960.0</v>
      </c>
      <c r="F162" s="409">
        <v>160.0</v>
      </c>
      <c r="G162" s="411"/>
      <c r="H162" s="412" t="str">
        <f t="shared" si="1"/>
        <v/>
      </c>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15" t="s">
        <v>603</v>
      </c>
      <c r="C163" s="408" t="s">
        <v>609</v>
      </c>
      <c r="D163" s="409">
        <v>8700.0</v>
      </c>
      <c r="E163" s="410">
        <v>400.0</v>
      </c>
      <c r="F163" s="409">
        <v>65.0</v>
      </c>
      <c r="G163" s="411"/>
      <c r="H163" s="412" t="str">
        <f t="shared" si="1"/>
        <v/>
      </c>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15" t="s">
        <v>603</v>
      </c>
      <c r="C164" s="408" t="s">
        <v>610</v>
      </c>
      <c r="D164" s="409">
        <v>7870.0</v>
      </c>
      <c r="E164" s="410">
        <v>460.0</v>
      </c>
      <c r="F164" s="409">
        <v>80.0</v>
      </c>
      <c r="G164" s="411"/>
      <c r="H164" s="412" t="str">
        <f t="shared" si="1"/>
        <v/>
      </c>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15" t="s">
        <v>603</v>
      </c>
      <c r="C165" s="408" t="s">
        <v>611</v>
      </c>
      <c r="D165" s="409">
        <v>7200.0</v>
      </c>
      <c r="E165" s="410">
        <v>550.0</v>
      </c>
      <c r="F165" s="409">
        <v>50.0</v>
      </c>
      <c r="G165" s="411"/>
      <c r="H165" s="412" t="str">
        <f t="shared" si="1"/>
        <v/>
      </c>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15" t="s">
        <v>603</v>
      </c>
      <c r="C166" s="408" t="s">
        <v>612</v>
      </c>
      <c r="D166" s="409">
        <v>8800.0</v>
      </c>
      <c r="E166" s="410">
        <v>460.0</v>
      </c>
      <c r="F166" s="409">
        <v>65.0</v>
      </c>
      <c r="G166" s="411"/>
      <c r="H166" s="412" t="str">
        <f t="shared" si="1"/>
        <v/>
      </c>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15" t="s">
        <v>603</v>
      </c>
      <c r="C167" s="408" t="s">
        <v>613</v>
      </c>
      <c r="D167" s="409">
        <v>8400.0</v>
      </c>
      <c r="E167" s="410">
        <v>400.0</v>
      </c>
      <c r="F167" s="409">
        <v>110.0</v>
      </c>
      <c r="G167" s="411"/>
      <c r="H167" s="412" t="str">
        <f t="shared" si="1"/>
        <v/>
      </c>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15" t="s">
        <v>603</v>
      </c>
      <c r="C168" s="408" t="s">
        <v>614</v>
      </c>
      <c r="D168" s="409">
        <v>11300.0</v>
      </c>
      <c r="E168" s="410">
        <v>200.0</v>
      </c>
      <c r="F168" s="409">
        <v>35.0</v>
      </c>
      <c r="G168" s="411"/>
      <c r="H168" s="412" t="str">
        <f t="shared" si="1"/>
        <v/>
      </c>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15" t="s">
        <v>603</v>
      </c>
      <c r="C169" s="408" t="s">
        <v>615</v>
      </c>
      <c r="D169" s="409">
        <v>8900.0</v>
      </c>
      <c r="E169" s="410">
        <v>380.0</v>
      </c>
      <c r="F169" s="409">
        <v>380.0</v>
      </c>
      <c r="G169" s="411"/>
      <c r="H169" s="412" t="str">
        <f t="shared" si="1"/>
        <v/>
      </c>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15" t="s">
        <v>603</v>
      </c>
      <c r="C170" s="408" t="s">
        <v>616</v>
      </c>
      <c r="D170" s="409">
        <v>7100.0</v>
      </c>
      <c r="E170" s="410">
        <v>390.0</v>
      </c>
      <c r="F170" s="409">
        <v>110.0</v>
      </c>
      <c r="G170" s="411"/>
      <c r="H170" s="412" t="str">
        <f t="shared" si="1"/>
        <v/>
      </c>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15" t="s">
        <v>617</v>
      </c>
      <c r="C171" s="408" t="s">
        <v>618</v>
      </c>
      <c r="D171" s="409">
        <v>190.0</v>
      </c>
      <c r="E171" s="410">
        <v>840.0</v>
      </c>
      <c r="F171" s="409">
        <v>0.071</v>
      </c>
      <c r="G171" s="411">
        <v>36.0</v>
      </c>
      <c r="H171" s="412">
        <f t="shared" si="1"/>
        <v>5.555555556</v>
      </c>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15" t="s">
        <v>617</v>
      </c>
      <c r="C172" s="408" t="s">
        <v>619</v>
      </c>
      <c r="D172" s="409">
        <v>800.0</v>
      </c>
      <c r="E172" s="410">
        <v>2100.0</v>
      </c>
      <c r="F172" s="409">
        <v>0.14</v>
      </c>
      <c r="G172" s="414">
        <v>26.0</v>
      </c>
      <c r="H172" s="412">
        <f t="shared" si="1"/>
        <v>7.692307692</v>
      </c>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15" t="s">
        <v>617</v>
      </c>
      <c r="C173" s="408" t="s">
        <v>619</v>
      </c>
      <c r="D173" s="409">
        <v>900.0</v>
      </c>
      <c r="E173" s="410">
        <v>2100.0</v>
      </c>
      <c r="F173" s="409">
        <v>0.16</v>
      </c>
      <c r="G173" s="414">
        <v>26.0</v>
      </c>
      <c r="H173" s="412">
        <f t="shared" si="1"/>
        <v>7.692307692</v>
      </c>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15" t="s">
        <v>617</v>
      </c>
      <c r="C174" s="408" t="s">
        <v>619</v>
      </c>
      <c r="D174" s="409">
        <v>1000.0</v>
      </c>
      <c r="E174" s="410">
        <v>2100.0</v>
      </c>
      <c r="F174" s="409">
        <v>0.18</v>
      </c>
      <c r="G174" s="414">
        <v>26.0</v>
      </c>
      <c r="H174" s="412">
        <f t="shared" si="1"/>
        <v>7.692307692</v>
      </c>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15" t="s">
        <v>617</v>
      </c>
      <c r="C175" s="408" t="s">
        <v>620</v>
      </c>
      <c r="D175" s="409">
        <v>300.0</v>
      </c>
      <c r="E175" s="410">
        <v>2100.0</v>
      </c>
      <c r="F175" s="409">
        <v>0.085</v>
      </c>
      <c r="G175" s="411">
        <v>63.0</v>
      </c>
      <c r="H175" s="412">
        <f t="shared" si="1"/>
        <v>3.174603175</v>
      </c>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15" t="s">
        <v>617</v>
      </c>
      <c r="C176" s="408" t="s">
        <v>620</v>
      </c>
      <c r="D176" s="409">
        <v>350.0</v>
      </c>
      <c r="E176" s="410">
        <v>2100.0</v>
      </c>
      <c r="F176" s="409">
        <v>0.091</v>
      </c>
      <c r="G176" s="411">
        <v>63.0</v>
      </c>
      <c r="H176" s="412">
        <f t="shared" si="1"/>
        <v>3.174603175</v>
      </c>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15" t="s">
        <v>617</v>
      </c>
      <c r="C177" s="408" t="s">
        <v>620</v>
      </c>
      <c r="D177" s="409">
        <v>400.0</v>
      </c>
      <c r="E177" s="410">
        <v>2100.0</v>
      </c>
      <c r="F177" s="409">
        <v>0.097</v>
      </c>
      <c r="G177" s="411">
        <v>63.0</v>
      </c>
      <c r="H177" s="412">
        <f t="shared" si="1"/>
        <v>3.174603175</v>
      </c>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15" t="s">
        <v>617</v>
      </c>
      <c r="C178" s="408" t="s">
        <v>620</v>
      </c>
      <c r="D178" s="409">
        <v>500.0</v>
      </c>
      <c r="E178" s="410">
        <v>2100.0</v>
      </c>
      <c r="F178" s="417">
        <v>0.11</v>
      </c>
      <c r="G178" s="411">
        <v>63.0</v>
      </c>
      <c r="H178" s="412">
        <f t="shared" si="1"/>
        <v>3.174603175</v>
      </c>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15" t="s">
        <v>617</v>
      </c>
      <c r="C179" s="408" t="s">
        <v>621</v>
      </c>
      <c r="D179" s="409">
        <v>400.0</v>
      </c>
      <c r="E179" s="410">
        <v>2100.0</v>
      </c>
      <c r="F179" s="409">
        <v>0.12</v>
      </c>
      <c r="G179" s="414">
        <v>6.25</v>
      </c>
      <c r="H179" s="412">
        <f t="shared" si="1"/>
        <v>32</v>
      </c>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15" t="s">
        <v>617</v>
      </c>
      <c r="C180" s="408" t="s">
        <v>621</v>
      </c>
      <c r="D180" s="409">
        <v>500.0</v>
      </c>
      <c r="E180" s="410">
        <v>2100.0</v>
      </c>
      <c r="F180" s="409">
        <v>0.14</v>
      </c>
      <c r="G180" s="414">
        <v>6.25</v>
      </c>
      <c r="H180" s="412">
        <f t="shared" si="1"/>
        <v>32</v>
      </c>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15" t="s">
        <v>617</v>
      </c>
      <c r="C181" s="408" t="s">
        <v>621</v>
      </c>
      <c r="D181" s="409">
        <v>600.0</v>
      </c>
      <c r="E181" s="410">
        <v>2100.0</v>
      </c>
      <c r="F181" s="409">
        <v>0.16</v>
      </c>
      <c r="G181" s="414">
        <v>6.25</v>
      </c>
      <c r="H181" s="412">
        <f t="shared" si="1"/>
        <v>32</v>
      </c>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15" t="s">
        <v>617</v>
      </c>
      <c r="C182" s="408" t="s">
        <v>622</v>
      </c>
      <c r="D182" s="409">
        <v>500.0</v>
      </c>
      <c r="E182" s="410">
        <v>2100.0</v>
      </c>
      <c r="F182" s="413">
        <v>0.1</v>
      </c>
      <c r="G182" s="411">
        <v>2.7</v>
      </c>
      <c r="H182" s="412">
        <f t="shared" si="1"/>
        <v>74.07407407</v>
      </c>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15" t="s">
        <v>617</v>
      </c>
      <c r="C183" s="408" t="s">
        <v>622</v>
      </c>
      <c r="D183" s="409">
        <v>600.0</v>
      </c>
      <c r="E183" s="410">
        <v>2100.0</v>
      </c>
      <c r="F183" s="409">
        <v>0.12</v>
      </c>
      <c r="G183" s="411">
        <v>2.7</v>
      </c>
      <c r="H183" s="412">
        <f t="shared" si="1"/>
        <v>74.07407407</v>
      </c>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15" t="s">
        <v>617</v>
      </c>
      <c r="C184" s="408" t="s">
        <v>622</v>
      </c>
      <c r="D184" s="409">
        <v>700.0</v>
      </c>
      <c r="E184" s="410">
        <v>2100.0</v>
      </c>
      <c r="F184" s="409">
        <v>0.15</v>
      </c>
      <c r="G184" s="411">
        <v>2.7</v>
      </c>
      <c r="H184" s="412">
        <f t="shared" si="1"/>
        <v>74.07407407</v>
      </c>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15" t="s">
        <v>617</v>
      </c>
      <c r="C185" s="408" t="s">
        <v>623</v>
      </c>
      <c r="D185" s="409">
        <v>700.0</v>
      </c>
      <c r="E185" s="410">
        <v>2100.0</v>
      </c>
      <c r="F185" s="409">
        <v>0.17</v>
      </c>
      <c r="G185" s="411">
        <v>9.0</v>
      </c>
      <c r="H185" s="412">
        <f t="shared" si="1"/>
        <v>22.22222222</v>
      </c>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15" t="s">
        <v>617</v>
      </c>
      <c r="C186" s="408" t="s">
        <v>624</v>
      </c>
      <c r="D186" s="409">
        <v>130.0</v>
      </c>
      <c r="E186" s="410">
        <v>2100.0</v>
      </c>
      <c r="F186" s="409">
        <v>0.045</v>
      </c>
      <c r="G186" s="411">
        <v>8.35</v>
      </c>
      <c r="H186" s="412">
        <f t="shared" si="1"/>
        <v>23.95209581</v>
      </c>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15" t="s">
        <v>617</v>
      </c>
      <c r="C187" s="408" t="s">
        <v>625</v>
      </c>
      <c r="D187" s="409">
        <v>90.0</v>
      </c>
      <c r="E187" s="410">
        <v>2100.0</v>
      </c>
      <c r="F187" s="409">
        <v>0.043</v>
      </c>
      <c r="G187" s="411">
        <v>8.35</v>
      </c>
      <c r="H187" s="412">
        <f t="shared" si="1"/>
        <v>23.95209581</v>
      </c>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15" t="s">
        <v>617</v>
      </c>
      <c r="C188" s="408" t="s">
        <v>625</v>
      </c>
      <c r="D188" s="409">
        <v>130.0</v>
      </c>
      <c r="E188" s="410">
        <v>2100.0</v>
      </c>
      <c r="F188" s="409">
        <v>0.045</v>
      </c>
      <c r="G188" s="411">
        <v>12.5</v>
      </c>
      <c r="H188" s="412">
        <f t="shared" si="1"/>
        <v>16</v>
      </c>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15" t="s">
        <v>617</v>
      </c>
      <c r="C189" s="408" t="s">
        <v>625</v>
      </c>
      <c r="D189" s="409">
        <v>200.0</v>
      </c>
      <c r="E189" s="410">
        <v>2100.0</v>
      </c>
      <c r="F189" s="409">
        <v>0.052</v>
      </c>
      <c r="G189" s="411">
        <v>12.5</v>
      </c>
      <c r="H189" s="412">
        <f t="shared" si="1"/>
        <v>16</v>
      </c>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15" t="s">
        <v>626</v>
      </c>
      <c r="C190" s="408" t="s">
        <v>627</v>
      </c>
      <c r="D190" s="409">
        <v>2300.0</v>
      </c>
      <c r="E190" s="410">
        <v>840.0</v>
      </c>
      <c r="F190" s="409">
        <v>1.0</v>
      </c>
      <c r="G190" s="414">
        <v>0.94</v>
      </c>
      <c r="H190" s="412">
        <f t="shared" si="1"/>
        <v>212.7659574</v>
      </c>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15" t="s">
        <v>628</v>
      </c>
      <c r="C191" s="408" t="s">
        <v>629</v>
      </c>
      <c r="D191" s="409">
        <v>2700.0</v>
      </c>
      <c r="E191" s="410">
        <v>840.0</v>
      </c>
      <c r="F191" s="409">
        <v>2.0</v>
      </c>
      <c r="G191" s="411"/>
      <c r="H191" s="412" t="str">
        <f t="shared" si="1"/>
        <v/>
      </c>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15" t="s">
        <v>628</v>
      </c>
      <c r="C192" s="408" t="s">
        <v>630</v>
      </c>
      <c r="D192" s="409">
        <v>2800.0</v>
      </c>
      <c r="E192" s="410">
        <v>840.0</v>
      </c>
      <c r="F192" s="409">
        <v>3.5</v>
      </c>
      <c r="G192" s="411"/>
      <c r="H192" s="412" t="str">
        <f t="shared" si="1"/>
        <v/>
      </c>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15" t="s">
        <v>628</v>
      </c>
      <c r="C193" s="408" t="s">
        <v>631</v>
      </c>
      <c r="D193" s="409">
        <v>1900.0</v>
      </c>
      <c r="E193" s="410">
        <v>840.0</v>
      </c>
      <c r="F193" s="409">
        <v>1.5</v>
      </c>
      <c r="G193" s="411"/>
      <c r="H193" s="412" t="str">
        <f t="shared" si="1"/>
        <v/>
      </c>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15" t="s">
        <v>628</v>
      </c>
      <c r="C194" s="408" t="s">
        <v>631</v>
      </c>
      <c r="D194" s="409">
        <v>2100.0</v>
      </c>
      <c r="E194" s="410">
        <v>840.0</v>
      </c>
      <c r="F194" s="409">
        <v>1.6</v>
      </c>
      <c r="G194" s="411"/>
      <c r="H194" s="412" t="str">
        <f t="shared" si="1"/>
        <v/>
      </c>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15" t="s">
        <v>628</v>
      </c>
      <c r="C195" s="408" t="s">
        <v>631</v>
      </c>
      <c r="D195" s="409">
        <v>2700.0</v>
      </c>
      <c r="E195" s="410">
        <v>840.0</v>
      </c>
      <c r="F195" s="409">
        <v>2.9</v>
      </c>
      <c r="G195" s="411"/>
      <c r="H195" s="412" t="str">
        <f t="shared" si="1"/>
        <v/>
      </c>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15" t="s">
        <v>628</v>
      </c>
      <c r="C196" s="408" t="s">
        <v>631</v>
      </c>
      <c r="D196" s="409">
        <v>2800.0</v>
      </c>
      <c r="E196" s="410">
        <v>840.0</v>
      </c>
      <c r="F196" s="409">
        <v>3.5</v>
      </c>
      <c r="G196" s="411"/>
      <c r="H196" s="412" t="str">
        <f t="shared" si="1"/>
        <v/>
      </c>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15" t="s">
        <v>628</v>
      </c>
      <c r="C197" s="408" t="s">
        <v>632</v>
      </c>
      <c r="D197" s="409">
        <v>2700.0</v>
      </c>
      <c r="E197" s="410">
        <v>840.0</v>
      </c>
      <c r="F197" s="409">
        <v>1.8</v>
      </c>
      <c r="G197" s="411"/>
      <c r="H197" s="412" t="str">
        <f t="shared" si="1"/>
        <v/>
      </c>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15" t="s">
        <v>628</v>
      </c>
      <c r="C198" s="408" t="s">
        <v>633</v>
      </c>
      <c r="D198" s="409">
        <v>2500.0</v>
      </c>
      <c r="E198" s="410">
        <v>840.0</v>
      </c>
      <c r="F198" s="409">
        <v>2.4</v>
      </c>
      <c r="G198" s="411"/>
      <c r="H198" s="412" t="str">
        <f t="shared" si="1"/>
        <v/>
      </c>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15" t="s">
        <v>628</v>
      </c>
      <c r="C199" s="408" t="s">
        <v>634</v>
      </c>
      <c r="D199" s="409">
        <v>2700.0</v>
      </c>
      <c r="E199" s="410">
        <v>840.0</v>
      </c>
      <c r="F199" s="409">
        <v>3.5</v>
      </c>
      <c r="G199" s="411"/>
      <c r="H199" s="412" t="str">
        <f t="shared" si="1"/>
        <v/>
      </c>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15" t="s">
        <v>628</v>
      </c>
      <c r="C200" s="408" t="s">
        <v>635</v>
      </c>
      <c r="D200" s="409">
        <v>2500.0</v>
      </c>
      <c r="E200" s="410">
        <v>840.0</v>
      </c>
      <c r="F200" s="409">
        <v>3.2</v>
      </c>
      <c r="G200" s="411"/>
      <c r="H200" s="412" t="str">
        <f t="shared" si="1"/>
        <v/>
      </c>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15" t="s">
        <v>628</v>
      </c>
      <c r="C201" s="408" t="s">
        <v>635</v>
      </c>
      <c r="D201" s="409">
        <v>3000.0</v>
      </c>
      <c r="E201" s="410">
        <v>840.0</v>
      </c>
      <c r="F201" s="409">
        <v>4.1</v>
      </c>
      <c r="G201" s="411"/>
      <c r="H201" s="412" t="str">
        <f t="shared" si="1"/>
        <v/>
      </c>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15" t="s">
        <v>628</v>
      </c>
      <c r="C202" s="408" t="s">
        <v>636</v>
      </c>
      <c r="D202" s="409">
        <v>2200.0</v>
      </c>
      <c r="E202" s="410">
        <v>840.0</v>
      </c>
      <c r="F202" s="409">
        <v>2.9</v>
      </c>
      <c r="G202" s="411"/>
      <c r="H202" s="412" t="str">
        <f t="shared" si="1"/>
        <v/>
      </c>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15" t="s">
        <v>628</v>
      </c>
      <c r="C203" s="408" t="s">
        <v>637</v>
      </c>
      <c r="D203" s="409">
        <v>2700.0</v>
      </c>
      <c r="E203" s="410">
        <v>840.0</v>
      </c>
      <c r="F203" s="409">
        <v>3.0</v>
      </c>
      <c r="G203" s="411"/>
      <c r="H203" s="412" t="str">
        <f t="shared" si="1"/>
        <v/>
      </c>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15" t="s">
        <v>628</v>
      </c>
      <c r="C204" s="408" t="s">
        <v>638</v>
      </c>
      <c r="D204" s="409">
        <v>2200.0</v>
      </c>
      <c r="E204" s="410">
        <v>840.0</v>
      </c>
      <c r="F204" s="409">
        <v>2.9</v>
      </c>
      <c r="G204" s="411"/>
      <c r="H204" s="412" t="str">
        <f t="shared" si="1"/>
        <v/>
      </c>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15" t="s">
        <v>628</v>
      </c>
      <c r="C205" s="408" t="s">
        <v>639</v>
      </c>
      <c r="D205" s="409">
        <v>2700.0</v>
      </c>
      <c r="E205" s="410">
        <v>840.0</v>
      </c>
      <c r="F205" s="409">
        <v>2.5</v>
      </c>
      <c r="G205" s="411"/>
      <c r="H205" s="412" t="str">
        <f t="shared" si="1"/>
        <v/>
      </c>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15" t="s">
        <v>628</v>
      </c>
      <c r="C206" s="408" t="s">
        <v>640</v>
      </c>
      <c r="D206" s="409">
        <v>2700.0</v>
      </c>
      <c r="E206" s="410">
        <v>840.0</v>
      </c>
      <c r="F206" s="409">
        <v>1.4</v>
      </c>
      <c r="G206" s="411"/>
      <c r="H206" s="412" t="str">
        <f t="shared" si="1"/>
        <v/>
      </c>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15" t="s">
        <v>628</v>
      </c>
      <c r="C207" s="408" t="s">
        <v>641</v>
      </c>
      <c r="D207" s="409">
        <v>2600.0</v>
      </c>
      <c r="E207" s="410">
        <v>840.0</v>
      </c>
      <c r="F207" s="409">
        <v>2.7</v>
      </c>
      <c r="G207" s="411"/>
      <c r="H207" s="412" t="str">
        <f t="shared" si="1"/>
        <v/>
      </c>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15" t="s">
        <v>628</v>
      </c>
      <c r="C208" s="408" t="s">
        <v>642</v>
      </c>
      <c r="D208" s="409">
        <v>2300.0</v>
      </c>
      <c r="E208" s="410">
        <v>840.0</v>
      </c>
      <c r="F208" s="409">
        <v>2.9</v>
      </c>
      <c r="G208" s="411"/>
      <c r="H208" s="412" t="str">
        <f t="shared" si="1"/>
        <v/>
      </c>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15" t="s">
        <v>628</v>
      </c>
      <c r="C209" s="408" t="s">
        <v>643</v>
      </c>
      <c r="D209" s="409">
        <v>1500.0</v>
      </c>
      <c r="E209" s="410">
        <v>1300.0</v>
      </c>
      <c r="F209" s="409">
        <v>0.63</v>
      </c>
      <c r="G209" s="411"/>
      <c r="H209" s="412" t="str">
        <f t="shared" si="1"/>
        <v/>
      </c>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15" t="s">
        <v>628</v>
      </c>
      <c r="C210" s="408" t="s">
        <v>643</v>
      </c>
      <c r="D210" s="409">
        <v>2300.0</v>
      </c>
      <c r="E210" s="410">
        <v>1300.0</v>
      </c>
      <c r="F210" s="409">
        <v>1.7</v>
      </c>
      <c r="G210" s="411"/>
      <c r="H210" s="412" t="str">
        <f t="shared" si="1"/>
        <v/>
      </c>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15" t="s">
        <v>644</v>
      </c>
      <c r="C211" s="408" t="s">
        <v>645</v>
      </c>
      <c r="D211" s="409">
        <v>225.0</v>
      </c>
      <c r="E211" s="410">
        <v>840.0</v>
      </c>
      <c r="F211" s="409">
        <v>0.076</v>
      </c>
      <c r="G211" s="411"/>
      <c r="H211" s="412" t="str">
        <f t="shared" si="1"/>
        <v/>
      </c>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15" t="s">
        <v>644</v>
      </c>
      <c r="C212" s="408" t="s">
        <v>645</v>
      </c>
      <c r="D212" s="409">
        <v>240.0</v>
      </c>
      <c r="E212" s="410">
        <v>840.0</v>
      </c>
      <c r="F212" s="409">
        <v>0.094</v>
      </c>
      <c r="G212" s="411"/>
      <c r="H212" s="412" t="str">
        <f t="shared" si="1"/>
        <v/>
      </c>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15" t="s">
        <v>646</v>
      </c>
      <c r="C213" s="408" t="s">
        <v>647</v>
      </c>
      <c r="D213" s="409">
        <v>130.0</v>
      </c>
      <c r="E213" s="410">
        <v>840.0</v>
      </c>
      <c r="F213" s="409">
        <v>0.055</v>
      </c>
      <c r="G213" s="420">
        <f t="shared" ref="G213:G216" si="3">0.00000188</f>
        <v>0.00000188</v>
      </c>
      <c r="H213" s="412">
        <f t="shared" si="1"/>
        <v>106382978.7</v>
      </c>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15" t="s">
        <v>646</v>
      </c>
      <c r="C214" s="408" t="s">
        <v>647</v>
      </c>
      <c r="D214" s="409">
        <v>150.0</v>
      </c>
      <c r="E214" s="410">
        <v>840.0</v>
      </c>
      <c r="F214" s="409">
        <v>0.06</v>
      </c>
      <c r="G214" s="420">
        <f t="shared" si="3"/>
        <v>0.00000188</v>
      </c>
      <c r="H214" s="412">
        <f t="shared" si="1"/>
        <v>106382978.7</v>
      </c>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15" t="s">
        <v>646</v>
      </c>
      <c r="C215" s="408" t="s">
        <v>647</v>
      </c>
      <c r="D215" s="409">
        <v>180.0</v>
      </c>
      <c r="E215" s="410">
        <v>840.0</v>
      </c>
      <c r="F215" s="409">
        <v>0.066</v>
      </c>
      <c r="G215" s="420">
        <f t="shared" si="3"/>
        <v>0.00000188</v>
      </c>
      <c r="H215" s="412">
        <f t="shared" si="1"/>
        <v>106382978.7</v>
      </c>
      <c r="I215" s="396"/>
      <c r="J215" s="396"/>
      <c r="K215" s="396"/>
      <c r="L215" s="396"/>
      <c r="M215" s="396"/>
      <c r="N215" s="396"/>
      <c r="O215" s="396"/>
      <c r="P215" s="396"/>
      <c r="Q215" s="396"/>
      <c r="R215" s="396"/>
      <c r="S215" s="396"/>
      <c r="T215" s="396"/>
      <c r="U215" s="396"/>
      <c r="V215" s="396"/>
      <c r="W215" s="396"/>
      <c r="X215" s="396"/>
      <c r="Y215" s="396"/>
      <c r="Z215" s="396"/>
    </row>
    <row r="216" ht="13.5" customHeight="1">
      <c r="A216" s="396"/>
      <c r="B216" s="421" t="s">
        <v>646</v>
      </c>
      <c r="C216" s="422" t="s">
        <v>648</v>
      </c>
      <c r="D216" s="423">
        <v>2500.0</v>
      </c>
      <c r="E216" s="424">
        <v>840.0</v>
      </c>
      <c r="F216" s="423">
        <v>1.0</v>
      </c>
      <c r="G216" s="425">
        <f t="shared" si="3"/>
        <v>0.00000188</v>
      </c>
      <c r="H216" s="426">
        <f t="shared" si="1"/>
        <v>106382978.7</v>
      </c>
      <c r="I216" s="396"/>
      <c r="J216" s="396"/>
      <c r="K216" s="396"/>
      <c r="L216" s="396"/>
      <c r="M216" s="396"/>
      <c r="N216" s="396"/>
      <c r="O216" s="396"/>
      <c r="P216" s="396"/>
      <c r="Q216" s="396"/>
      <c r="R216" s="396"/>
      <c r="S216" s="396"/>
      <c r="T216" s="396"/>
      <c r="U216" s="396"/>
      <c r="V216" s="396"/>
      <c r="W216" s="396"/>
      <c r="X216" s="396"/>
      <c r="Y216" s="396"/>
      <c r="Z216" s="396"/>
    </row>
    <row r="217" ht="12.0" customHeight="1">
      <c r="A217" s="396"/>
      <c r="B217" s="396"/>
      <c r="C217" s="396"/>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0" customHeight="1">
      <c r="A218" s="396"/>
      <c r="B218" s="396"/>
      <c r="C218" s="396"/>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0" customHeight="1">
      <c r="A219" s="396"/>
      <c r="B219" s="396"/>
      <c r="C219" s="396"/>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0"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0" customHeight="1">
      <c r="A221" s="396"/>
      <c r="B221" s="396"/>
      <c r="C221" s="396"/>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0" customHeight="1">
      <c r="A222" s="396"/>
      <c r="B222" s="396"/>
      <c r="C222" s="396"/>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0" customHeight="1">
      <c r="A223" s="396"/>
      <c r="B223" s="396"/>
      <c r="C223" s="396"/>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0" customHeight="1">
      <c r="A224" s="396"/>
      <c r="B224" s="396"/>
      <c r="C224" s="396"/>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0" customHeight="1">
      <c r="A225" s="396"/>
      <c r="B225" s="396"/>
      <c r="C225" s="396"/>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0" customHeight="1">
      <c r="A226" s="396"/>
      <c r="B226" s="396"/>
      <c r="C226" s="396"/>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0" customHeight="1">
      <c r="A227" s="396"/>
      <c r="B227" s="396"/>
      <c r="C227" s="396"/>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0" customHeight="1">
      <c r="A228" s="396"/>
      <c r="B228" s="396"/>
      <c r="C228" s="396"/>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0" customHeight="1">
      <c r="A229" s="396"/>
      <c r="B229" s="396"/>
      <c r="C229" s="396"/>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0" customHeight="1">
      <c r="A230" s="396"/>
      <c r="B230" s="396"/>
      <c r="C230" s="396"/>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0" customHeight="1">
      <c r="A231" s="396"/>
      <c r="B231" s="396"/>
      <c r="C231" s="396"/>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0" customHeight="1">
      <c r="A232" s="396"/>
      <c r="B232" s="396"/>
      <c r="C232" s="396"/>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0" customHeight="1">
      <c r="A233" s="396"/>
      <c r="B233" s="396"/>
      <c r="C233" s="396"/>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0" customHeight="1">
      <c r="A234" s="396"/>
      <c r="B234" s="396"/>
      <c r="C234" s="396"/>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0" customHeight="1">
      <c r="A235" s="396"/>
      <c r="B235" s="396"/>
      <c r="C235" s="396"/>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0" customHeight="1">
      <c r="A236" s="396"/>
      <c r="B236" s="396"/>
      <c r="C236" s="396"/>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0" customHeight="1">
      <c r="A237" s="396"/>
      <c r="B237" s="396"/>
      <c r="C237" s="396"/>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0" customHeight="1">
      <c r="A238" s="396"/>
      <c r="B238" s="396"/>
      <c r="C238" s="396"/>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0" customHeight="1">
      <c r="A239" s="396"/>
      <c r="B239" s="396"/>
      <c r="C239" s="396"/>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0" customHeight="1">
      <c r="A240" s="396"/>
      <c r="B240" s="396"/>
      <c r="C240" s="396"/>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0" customHeight="1">
      <c r="A241" s="396"/>
      <c r="B241" s="396"/>
      <c r="C241" s="396"/>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0" customHeight="1">
      <c r="A242" s="396"/>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0" customHeight="1">
      <c r="A243" s="396"/>
      <c r="B243" s="396"/>
      <c r="C243" s="396"/>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0" customHeight="1">
      <c r="A244" s="396"/>
      <c r="B244" s="396"/>
      <c r="C244" s="396"/>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0" customHeight="1">
      <c r="A245" s="396"/>
      <c r="B245" s="396"/>
      <c r="C245" s="396"/>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0" customHeight="1">
      <c r="A246" s="396"/>
      <c r="B246" s="396"/>
      <c r="C246" s="396"/>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0" customHeight="1">
      <c r="A247" s="396"/>
      <c r="B247" s="396"/>
      <c r="C247" s="396"/>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0" customHeight="1">
      <c r="A248" s="396"/>
      <c r="B248" s="396"/>
      <c r="C248" s="396"/>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0" customHeight="1">
      <c r="A249" s="396"/>
      <c r="B249" s="396"/>
      <c r="C249" s="396"/>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0" customHeight="1">
      <c r="A250" s="396"/>
      <c r="B250" s="396"/>
      <c r="C250" s="396"/>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0" customHeight="1">
      <c r="A251" s="396"/>
      <c r="B251" s="396"/>
      <c r="C251" s="396"/>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0" customHeight="1">
      <c r="A252" s="396"/>
      <c r="B252" s="396"/>
      <c r="C252" s="396"/>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0" customHeight="1">
      <c r="A253" s="396"/>
      <c r="B253" s="396"/>
      <c r="C253" s="396"/>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0" customHeight="1">
      <c r="A254" s="396"/>
      <c r="B254" s="396"/>
      <c r="C254" s="396"/>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0" customHeight="1">
      <c r="A255" s="396"/>
      <c r="B255" s="396"/>
      <c r="C255" s="396"/>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0" customHeight="1">
      <c r="A256" s="396"/>
      <c r="B256" s="396"/>
      <c r="C256" s="396"/>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0" customHeight="1">
      <c r="A257" s="396"/>
      <c r="B257" s="396"/>
      <c r="C257" s="396"/>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0" customHeight="1">
      <c r="A258" s="396"/>
      <c r="B258" s="396"/>
      <c r="C258" s="396"/>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0" customHeight="1">
      <c r="A259" s="396"/>
      <c r="B259" s="396"/>
      <c r="C259" s="396"/>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0" customHeight="1">
      <c r="A260" s="396"/>
      <c r="B260" s="396"/>
      <c r="C260" s="396"/>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0" customHeight="1">
      <c r="A261" s="396"/>
      <c r="B261" s="396"/>
      <c r="C261" s="396"/>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0" customHeight="1">
      <c r="A262" s="396"/>
      <c r="B262" s="396"/>
      <c r="C262" s="396"/>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0" customHeight="1">
      <c r="A263" s="396"/>
      <c r="B263" s="396"/>
      <c r="C263" s="396"/>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0" customHeight="1">
      <c r="A264" s="396"/>
      <c r="B264" s="396"/>
      <c r="C264" s="396"/>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0" customHeight="1">
      <c r="A265" s="396"/>
      <c r="B265" s="396"/>
      <c r="C265" s="396"/>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0" customHeight="1">
      <c r="A266" s="396"/>
      <c r="B266" s="396"/>
      <c r="C266" s="396"/>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0" customHeight="1">
      <c r="A267" s="396"/>
      <c r="B267" s="396"/>
      <c r="C267" s="396"/>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0" customHeight="1">
      <c r="A268" s="396"/>
      <c r="B268" s="396"/>
      <c r="C268" s="396"/>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0" customHeight="1">
      <c r="A269" s="396"/>
      <c r="B269" s="396"/>
      <c r="C269" s="396"/>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0" customHeight="1">
      <c r="A270" s="396"/>
      <c r="B270" s="396"/>
      <c r="C270" s="396"/>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0" customHeight="1">
      <c r="A271" s="396"/>
      <c r="B271" s="396"/>
      <c r="C271" s="396"/>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0" customHeight="1">
      <c r="A272" s="396"/>
      <c r="B272" s="396"/>
      <c r="C272" s="396"/>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0" customHeight="1">
      <c r="A273" s="396"/>
      <c r="B273" s="396"/>
      <c r="C273" s="396"/>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0" customHeight="1">
      <c r="A274" s="396"/>
      <c r="B274" s="396"/>
      <c r="C274" s="396"/>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0" customHeight="1">
      <c r="A275" s="396"/>
      <c r="B275" s="396"/>
      <c r="C275" s="396"/>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0" customHeight="1">
      <c r="A276" s="396"/>
      <c r="B276" s="396"/>
      <c r="C276" s="396"/>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0" customHeight="1">
      <c r="A277" s="396"/>
      <c r="B277" s="396"/>
      <c r="C277" s="396"/>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0" customHeight="1">
      <c r="A278" s="396"/>
      <c r="B278" s="396"/>
      <c r="C278" s="396"/>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0" customHeight="1">
      <c r="A279" s="396"/>
      <c r="B279" s="396"/>
      <c r="C279" s="396"/>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0" customHeight="1">
      <c r="A280" s="396"/>
      <c r="B280" s="396"/>
      <c r="C280" s="396"/>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0" customHeight="1">
      <c r="A281" s="396"/>
      <c r="B281" s="396"/>
      <c r="C281" s="396"/>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0" customHeight="1">
      <c r="A282" s="396"/>
      <c r="B282" s="396"/>
      <c r="C282" s="396"/>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0" customHeight="1">
      <c r="A283" s="396"/>
      <c r="B283" s="396"/>
      <c r="C283" s="396"/>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0" customHeight="1">
      <c r="A284" s="396"/>
      <c r="B284" s="396"/>
      <c r="C284" s="396"/>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0" customHeight="1">
      <c r="A285" s="396"/>
      <c r="B285" s="396"/>
      <c r="C285" s="396"/>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0" customHeight="1">
      <c r="A286" s="396"/>
      <c r="B286" s="396"/>
      <c r="C286" s="396"/>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0" customHeight="1">
      <c r="A287" s="396"/>
      <c r="B287" s="396"/>
      <c r="C287" s="396"/>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0" customHeight="1">
      <c r="A288" s="396"/>
      <c r="B288" s="396"/>
      <c r="C288" s="396"/>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0" customHeight="1">
      <c r="A289" s="396"/>
      <c r="B289" s="396"/>
      <c r="C289" s="396"/>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0" customHeight="1">
      <c r="A290" s="396"/>
      <c r="B290" s="396"/>
      <c r="C290" s="396"/>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0" customHeight="1">
      <c r="A291" s="396"/>
      <c r="B291" s="396"/>
      <c r="C291" s="396"/>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0" customHeight="1">
      <c r="A292" s="396"/>
      <c r="B292" s="396"/>
      <c r="C292" s="396"/>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0" customHeight="1">
      <c r="A293" s="396"/>
      <c r="B293" s="396"/>
      <c r="C293" s="396"/>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0" customHeight="1">
      <c r="A294" s="396"/>
      <c r="B294" s="396"/>
      <c r="C294" s="396"/>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0" customHeight="1">
      <c r="A295" s="396"/>
      <c r="B295" s="396"/>
      <c r="C295" s="396"/>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0" customHeight="1">
      <c r="A296" s="396"/>
      <c r="B296" s="396"/>
      <c r="C296" s="396"/>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0" customHeight="1">
      <c r="A297" s="396"/>
      <c r="B297" s="396"/>
      <c r="C297" s="396"/>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0" customHeight="1">
      <c r="A298" s="396"/>
      <c r="B298" s="396"/>
      <c r="C298" s="396"/>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0" customHeight="1">
      <c r="A299" s="396"/>
      <c r="B299" s="396"/>
      <c r="C299" s="396"/>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0" customHeight="1">
      <c r="A300" s="396"/>
      <c r="B300" s="396"/>
      <c r="C300" s="396"/>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0" customHeight="1">
      <c r="A301" s="396"/>
      <c r="B301" s="396"/>
      <c r="C301" s="396"/>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0" customHeight="1">
      <c r="A302" s="396"/>
      <c r="B302" s="396"/>
      <c r="C302" s="396"/>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0" customHeight="1">
      <c r="A303" s="396"/>
      <c r="B303" s="396"/>
      <c r="C303" s="396"/>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0" customHeight="1">
      <c r="A304" s="396"/>
      <c r="B304" s="396"/>
      <c r="C304" s="396"/>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0" customHeight="1">
      <c r="A305" s="396"/>
      <c r="B305" s="396"/>
      <c r="C305" s="396"/>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0" customHeight="1">
      <c r="A306" s="396"/>
      <c r="B306" s="396"/>
      <c r="C306" s="396"/>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0" customHeight="1">
      <c r="A307" s="396"/>
      <c r="B307" s="396"/>
      <c r="C307" s="396"/>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0" customHeight="1">
      <c r="A308" s="396"/>
      <c r="B308" s="396"/>
      <c r="C308" s="396"/>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0" customHeight="1">
      <c r="A309" s="396"/>
      <c r="B309" s="396"/>
      <c r="C309" s="396"/>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0" customHeight="1">
      <c r="A310" s="396"/>
      <c r="B310" s="396"/>
      <c r="C310" s="396"/>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0" customHeight="1">
      <c r="A311" s="396"/>
      <c r="B311" s="396"/>
      <c r="C311" s="396"/>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0" customHeight="1">
      <c r="A312" s="396"/>
      <c r="B312" s="396"/>
      <c r="C312" s="396"/>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0" customHeight="1">
      <c r="A313" s="396"/>
      <c r="B313" s="396"/>
      <c r="C313" s="396"/>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0" customHeight="1">
      <c r="A314" s="396"/>
      <c r="B314" s="396"/>
      <c r="C314" s="396"/>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0" customHeight="1">
      <c r="A315" s="396"/>
      <c r="B315" s="396"/>
      <c r="C315" s="396"/>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0" customHeight="1">
      <c r="A316" s="396"/>
      <c r="B316" s="396"/>
      <c r="C316" s="396"/>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0" customHeight="1">
      <c r="A317" s="396"/>
      <c r="B317" s="396"/>
      <c r="C317" s="396"/>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0" customHeight="1">
      <c r="A318" s="396"/>
      <c r="B318" s="396"/>
      <c r="C318" s="396"/>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0" customHeight="1">
      <c r="A319" s="396"/>
      <c r="B319" s="396"/>
      <c r="C319" s="396"/>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0" customHeight="1">
      <c r="A320" s="396"/>
      <c r="B320" s="396"/>
      <c r="C320" s="396"/>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0" customHeight="1">
      <c r="A321" s="396"/>
      <c r="B321" s="396"/>
      <c r="C321" s="396"/>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0" customHeight="1">
      <c r="A322" s="396"/>
      <c r="B322" s="396"/>
      <c r="C322" s="396"/>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0" customHeight="1">
      <c r="A323" s="396"/>
      <c r="B323" s="396"/>
      <c r="C323" s="396"/>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0" customHeight="1">
      <c r="A324" s="396"/>
      <c r="B324" s="396"/>
      <c r="C324" s="396"/>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0" customHeight="1">
      <c r="A325" s="396"/>
      <c r="B325" s="396"/>
      <c r="C325" s="396"/>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0" customHeight="1">
      <c r="A326" s="396"/>
      <c r="B326" s="396"/>
      <c r="C326" s="396"/>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0" customHeight="1">
      <c r="A327" s="396"/>
      <c r="B327" s="396"/>
      <c r="C327" s="396"/>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0" customHeight="1">
      <c r="A328" s="396"/>
      <c r="B328" s="396"/>
      <c r="C328" s="396"/>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0" customHeight="1">
      <c r="A329" s="396"/>
      <c r="B329" s="396"/>
      <c r="C329" s="396"/>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0" customHeight="1">
      <c r="A330" s="396"/>
      <c r="B330" s="396"/>
      <c r="C330" s="396"/>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0" customHeight="1">
      <c r="A331" s="396"/>
      <c r="B331" s="396"/>
      <c r="C331" s="396"/>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0" customHeight="1">
      <c r="A332" s="396"/>
      <c r="B332" s="396"/>
      <c r="C332" s="396"/>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0" customHeight="1">
      <c r="A333" s="396"/>
      <c r="B333" s="396"/>
      <c r="C333" s="396"/>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0" customHeight="1">
      <c r="A334" s="396"/>
      <c r="B334" s="396"/>
      <c r="C334" s="396"/>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0" customHeight="1">
      <c r="A335" s="396"/>
      <c r="B335" s="396"/>
      <c r="C335" s="396"/>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0" customHeight="1">
      <c r="A336" s="396"/>
      <c r="B336" s="396"/>
      <c r="C336" s="396"/>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0" customHeight="1">
      <c r="A337" s="396"/>
      <c r="B337" s="396"/>
      <c r="C337" s="396"/>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0" customHeight="1">
      <c r="A338" s="396"/>
      <c r="B338" s="396"/>
      <c r="C338" s="396"/>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0" customHeight="1">
      <c r="A339" s="396"/>
      <c r="B339" s="396"/>
      <c r="C339" s="396"/>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0" customHeight="1">
      <c r="A340" s="396"/>
      <c r="B340" s="396"/>
      <c r="C340" s="396"/>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0" customHeight="1">
      <c r="A341" s="396"/>
      <c r="B341" s="396"/>
      <c r="C341" s="396"/>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0" customHeight="1">
      <c r="A342" s="396"/>
      <c r="B342" s="396"/>
      <c r="C342" s="396"/>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0" customHeight="1">
      <c r="A343" s="396"/>
      <c r="B343" s="396"/>
      <c r="C343" s="396"/>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0" customHeight="1">
      <c r="A344" s="396"/>
      <c r="B344" s="396"/>
      <c r="C344" s="396"/>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0" customHeight="1">
      <c r="A345" s="396"/>
      <c r="B345" s="396"/>
      <c r="C345" s="396"/>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0" customHeight="1">
      <c r="A346" s="396"/>
      <c r="B346" s="396"/>
      <c r="C346" s="396"/>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0" customHeight="1">
      <c r="A347" s="396"/>
      <c r="B347" s="396"/>
      <c r="C347" s="396"/>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0" customHeight="1">
      <c r="A348" s="396"/>
      <c r="B348" s="396"/>
      <c r="C348" s="396"/>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0" customHeight="1">
      <c r="A349" s="396"/>
      <c r="B349" s="396"/>
      <c r="C349" s="396"/>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0" customHeight="1">
      <c r="A350" s="396"/>
      <c r="B350" s="396"/>
      <c r="C350" s="396"/>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0" customHeight="1">
      <c r="A351" s="396"/>
      <c r="B351" s="396"/>
      <c r="C351" s="396"/>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0" customHeight="1">
      <c r="A352" s="396"/>
      <c r="B352" s="396"/>
      <c r="C352" s="396"/>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0" customHeight="1">
      <c r="A353" s="396"/>
      <c r="B353" s="396"/>
      <c r="C353" s="396"/>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0" customHeight="1">
      <c r="A354" s="396"/>
      <c r="B354" s="396"/>
      <c r="C354" s="396"/>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0" customHeight="1">
      <c r="A355" s="396"/>
      <c r="B355" s="396"/>
      <c r="C355" s="396"/>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0" customHeight="1">
      <c r="A356" s="396"/>
      <c r="B356" s="396"/>
      <c r="C356" s="396"/>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0" customHeight="1">
      <c r="A357" s="396"/>
      <c r="B357" s="396"/>
      <c r="C357" s="396"/>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0" customHeight="1">
      <c r="A358" s="396"/>
      <c r="B358" s="396"/>
      <c r="C358" s="396"/>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0" customHeight="1">
      <c r="A359" s="396"/>
      <c r="B359" s="396"/>
      <c r="C359" s="396"/>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0" customHeight="1">
      <c r="A360" s="396"/>
      <c r="B360" s="396"/>
      <c r="C360" s="396"/>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0" customHeight="1">
      <c r="A361" s="396"/>
      <c r="B361" s="396"/>
      <c r="C361" s="396"/>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0" customHeight="1">
      <c r="A362" s="396"/>
      <c r="B362" s="396"/>
      <c r="C362" s="396"/>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0" customHeight="1">
      <c r="A363" s="396"/>
      <c r="B363" s="396"/>
      <c r="C363" s="396"/>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0" customHeight="1">
      <c r="A364" s="396"/>
      <c r="B364" s="396"/>
      <c r="C364" s="396"/>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0" customHeight="1">
      <c r="A365" s="396"/>
      <c r="B365" s="396"/>
      <c r="C365" s="396"/>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0" customHeight="1">
      <c r="A366" s="396"/>
      <c r="B366" s="396"/>
      <c r="C366" s="396"/>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0" customHeight="1">
      <c r="A367" s="396"/>
      <c r="B367" s="396"/>
      <c r="C367" s="396"/>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0" customHeight="1">
      <c r="A368" s="396"/>
      <c r="B368" s="396"/>
      <c r="C368" s="396"/>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0" customHeight="1">
      <c r="A369" s="396"/>
      <c r="B369" s="396"/>
      <c r="C369" s="396"/>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0" customHeight="1">
      <c r="A370" s="396"/>
      <c r="B370" s="396"/>
      <c r="C370" s="396"/>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0" customHeight="1">
      <c r="A371" s="396"/>
      <c r="B371" s="396"/>
      <c r="C371" s="396"/>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0" customHeight="1">
      <c r="A372" s="396"/>
      <c r="B372" s="396"/>
      <c r="C372" s="396"/>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0" customHeight="1">
      <c r="A373" s="396"/>
      <c r="B373" s="396"/>
      <c r="C373" s="396"/>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0" customHeight="1">
      <c r="A374" s="396"/>
      <c r="B374" s="396"/>
      <c r="C374" s="396"/>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0" customHeight="1">
      <c r="A375" s="396"/>
      <c r="B375" s="396"/>
      <c r="C375" s="396"/>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0" customHeight="1">
      <c r="A376" s="396"/>
      <c r="B376" s="396"/>
      <c r="C376" s="396"/>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0" customHeight="1">
      <c r="A377" s="396"/>
      <c r="B377" s="396"/>
      <c r="C377" s="396"/>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0" customHeight="1">
      <c r="A378" s="396"/>
      <c r="B378" s="396"/>
      <c r="C378" s="396"/>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0" customHeight="1">
      <c r="A379" s="396"/>
      <c r="B379" s="396"/>
      <c r="C379" s="396"/>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0" customHeight="1">
      <c r="A380" s="396"/>
      <c r="B380" s="396"/>
      <c r="C380" s="396"/>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0" customHeight="1">
      <c r="A381" s="396"/>
      <c r="B381" s="396"/>
      <c r="C381" s="396"/>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0" customHeight="1">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0" customHeight="1">
      <c r="A383" s="396"/>
      <c r="B383" s="396"/>
      <c r="C383" s="396"/>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0" customHeight="1">
      <c r="A384" s="396"/>
      <c r="B384" s="396"/>
      <c r="C384" s="396"/>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0" customHeight="1">
      <c r="A385" s="396"/>
      <c r="B385" s="396"/>
      <c r="C385" s="396"/>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0" customHeight="1">
      <c r="A386" s="396"/>
      <c r="B386" s="396"/>
      <c r="C386" s="396"/>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0" customHeight="1">
      <c r="A387" s="396"/>
      <c r="B387" s="396"/>
      <c r="C387" s="396"/>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0" customHeight="1">
      <c r="A388" s="396"/>
      <c r="B388" s="396"/>
      <c r="C388" s="396"/>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0" customHeight="1">
      <c r="A389" s="396"/>
      <c r="B389" s="396"/>
      <c r="C389" s="396"/>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0" customHeight="1">
      <c r="A390" s="396"/>
      <c r="B390" s="396"/>
      <c r="C390" s="396"/>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0" customHeight="1">
      <c r="A391" s="396"/>
      <c r="B391" s="396"/>
      <c r="C391" s="396"/>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0" customHeight="1">
      <c r="A392" s="396"/>
      <c r="B392" s="396"/>
      <c r="C392" s="396"/>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0" customHeight="1">
      <c r="A393" s="396"/>
      <c r="B393" s="396"/>
      <c r="C393" s="396"/>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0" customHeight="1">
      <c r="A394" s="396"/>
      <c r="B394" s="396"/>
      <c r="C394" s="396"/>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0" customHeight="1">
      <c r="A395" s="396"/>
      <c r="B395" s="396"/>
      <c r="C395" s="396"/>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0" customHeight="1">
      <c r="A396" s="396"/>
      <c r="B396" s="396"/>
      <c r="C396" s="396"/>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0" customHeight="1">
      <c r="A397" s="396"/>
      <c r="B397" s="396"/>
      <c r="C397" s="396"/>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0" customHeight="1">
      <c r="A398" s="396"/>
      <c r="B398" s="396"/>
      <c r="C398" s="396"/>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0" customHeight="1">
      <c r="A399" s="396"/>
      <c r="B399" s="396"/>
      <c r="C399" s="396"/>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0" customHeight="1">
      <c r="A400" s="396"/>
      <c r="B400" s="396"/>
      <c r="C400" s="396"/>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0" customHeight="1">
      <c r="A401" s="396"/>
      <c r="B401" s="396"/>
      <c r="C401" s="396"/>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0" customHeight="1">
      <c r="A402" s="396"/>
      <c r="B402" s="396"/>
      <c r="C402" s="396"/>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0" customHeight="1">
      <c r="A403" s="396"/>
      <c r="B403" s="396"/>
      <c r="C403" s="396"/>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0" customHeight="1">
      <c r="A404" s="396"/>
      <c r="B404" s="396"/>
      <c r="C404" s="396"/>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0" customHeight="1">
      <c r="A405" s="396"/>
      <c r="B405" s="396"/>
      <c r="C405" s="396"/>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0" customHeight="1">
      <c r="A406" s="396"/>
      <c r="B406" s="396"/>
      <c r="C406" s="396"/>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0" customHeight="1">
      <c r="A407" s="396"/>
      <c r="B407" s="396"/>
      <c r="C407" s="396"/>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0" customHeight="1">
      <c r="A408" s="396"/>
      <c r="B408" s="396"/>
      <c r="C408" s="396"/>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0" customHeight="1">
      <c r="A409" s="396"/>
      <c r="B409" s="396"/>
      <c r="C409" s="396"/>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0" customHeight="1">
      <c r="A410" s="396"/>
      <c r="B410" s="396"/>
      <c r="C410" s="396"/>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0" customHeight="1">
      <c r="A411" s="396"/>
      <c r="B411" s="396"/>
      <c r="C411" s="396"/>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0" customHeight="1">
      <c r="A412" s="396"/>
      <c r="B412" s="396"/>
      <c r="C412" s="396"/>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0" customHeight="1">
      <c r="A413" s="396"/>
      <c r="B413" s="396"/>
      <c r="C413" s="396"/>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0" customHeight="1">
      <c r="A414" s="396"/>
      <c r="B414" s="396"/>
      <c r="C414" s="396"/>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0" customHeight="1">
      <c r="A415" s="396"/>
      <c r="B415" s="396"/>
      <c r="C415" s="396"/>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0" customHeight="1">
      <c r="A416" s="396"/>
      <c r="B416" s="396"/>
      <c r="C416" s="396"/>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0" customHeight="1">
      <c r="A417" s="396"/>
      <c r="B417" s="396"/>
      <c r="C417" s="396"/>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0" customHeight="1">
      <c r="A418" s="396"/>
      <c r="B418" s="396"/>
      <c r="C418" s="396"/>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0" customHeight="1">
      <c r="A419" s="396"/>
      <c r="B419" s="396"/>
      <c r="C419" s="396"/>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0" customHeight="1">
      <c r="A420" s="396"/>
      <c r="B420" s="396"/>
      <c r="C420" s="396"/>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0" customHeight="1">
      <c r="A421" s="396"/>
      <c r="B421" s="396"/>
      <c r="C421" s="396"/>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0" customHeight="1">
      <c r="A422" s="396"/>
      <c r="B422" s="396"/>
      <c r="C422" s="396"/>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0" customHeight="1">
      <c r="A423" s="396"/>
      <c r="B423" s="396"/>
      <c r="C423" s="396"/>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0" customHeight="1">
      <c r="A424" s="396"/>
      <c r="B424" s="396"/>
      <c r="C424" s="396"/>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0" customHeight="1">
      <c r="A425" s="396"/>
      <c r="B425" s="396"/>
      <c r="C425" s="396"/>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0" customHeight="1">
      <c r="A426" s="396"/>
      <c r="B426" s="396"/>
      <c r="C426" s="396"/>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0" customHeight="1">
      <c r="A427" s="396"/>
      <c r="B427" s="396"/>
      <c r="C427" s="396"/>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0" customHeight="1">
      <c r="A428" s="396"/>
      <c r="B428" s="396"/>
      <c r="C428" s="396"/>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0" customHeight="1">
      <c r="A429" s="396"/>
      <c r="B429" s="396"/>
      <c r="C429" s="396"/>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0" customHeight="1">
      <c r="A430" s="396"/>
      <c r="B430" s="396"/>
      <c r="C430" s="396"/>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0" customHeight="1">
      <c r="A431" s="396"/>
      <c r="B431" s="396"/>
      <c r="C431" s="396"/>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0" customHeight="1">
      <c r="A432" s="396"/>
      <c r="B432" s="396"/>
      <c r="C432" s="396"/>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0" customHeight="1">
      <c r="A433" s="396"/>
      <c r="B433" s="396"/>
      <c r="C433" s="396"/>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0" customHeight="1">
      <c r="A434" s="396"/>
      <c r="B434" s="396"/>
      <c r="C434" s="396"/>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0" customHeight="1">
      <c r="A435" s="396"/>
      <c r="B435" s="396"/>
      <c r="C435" s="396"/>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0" customHeight="1">
      <c r="A436" s="396"/>
      <c r="B436" s="396"/>
      <c r="C436" s="396"/>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0" customHeight="1">
      <c r="A437" s="396"/>
      <c r="B437" s="396"/>
      <c r="C437" s="396"/>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0" customHeight="1">
      <c r="A438" s="396"/>
      <c r="B438" s="396"/>
      <c r="C438" s="396"/>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0" customHeight="1">
      <c r="A439" s="396"/>
      <c r="B439" s="396"/>
      <c r="C439" s="396"/>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0" customHeight="1">
      <c r="A440" s="396"/>
      <c r="B440" s="396"/>
      <c r="C440" s="396"/>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0" customHeight="1">
      <c r="A441" s="396"/>
      <c r="B441" s="396"/>
      <c r="C441" s="396"/>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0" customHeight="1">
      <c r="A442" s="396"/>
      <c r="B442" s="396"/>
      <c r="C442" s="396"/>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0" customHeight="1">
      <c r="A443" s="396"/>
      <c r="B443" s="396"/>
      <c r="C443" s="396"/>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0" customHeight="1">
      <c r="A444" s="396"/>
      <c r="B444" s="396"/>
      <c r="C444" s="396"/>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0" customHeight="1">
      <c r="A445" s="396"/>
      <c r="B445" s="396"/>
      <c r="C445" s="396"/>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0" customHeight="1">
      <c r="A446" s="396"/>
      <c r="B446" s="396"/>
      <c r="C446" s="396"/>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0" customHeight="1">
      <c r="A447" s="396"/>
      <c r="B447" s="396"/>
      <c r="C447" s="396"/>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0" customHeight="1">
      <c r="A448" s="396"/>
      <c r="B448" s="396"/>
      <c r="C448" s="396"/>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0" customHeight="1">
      <c r="A449" s="396"/>
      <c r="B449" s="396"/>
      <c r="C449" s="396"/>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0" customHeight="1">
      <c r="A450" s="396"/>
      <c r="B450" s="396"/>
      <c r="C450" s="396"/>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0" customHeight="1">
      <c r="A451" s="396"/>
      <c r="B451" s="396"/>
      <c r="C451" s="396"/>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0" customHeight="1">
      <c r="A452" s="396"/>
      <c r="B452" s="396"/>
      <c r="C452" s="396"/>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0" customHeight="1">
      <c r="A453" s="396"/>
      <c r="B453" s="396"/>
      <c r="C453" s="396"/>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0" customHeight="1">
      <c r="A454" s="396"/>
      <c r="B454" s="396"/>
      <c r="C454" s="396"/>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0" customHeight="1">
      <c r="A455" s="396"/>
      <c r="B455" s="396"/>
      <c r="C455" s="396"/>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0" customHeight="1">
      <c r="A456" s="396"/>
      <c r="B456" s="396"/>
      <c r="C456" s="396"/>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0" customHeight="1">
      <c r="A457" s="396"/>
      <c r="B457" s="396"/>
      <c r="C457" s="396"/>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0" customHeight="1">
      <c r="A458" s="396"/>
      <c r="B458" s="396"/>
      <c r="C458" s="396"/>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0" customHeight="1">
      <c r="A459" s="396"/>
      <c r="B459" s="396"/>
      <c r="C459" s="396"/>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0" customHeight="1">
      <c r="A460" s="396"/>
      <c r="B460" s="396"/>
      <c r="C460" s="396"/>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0" customHeight="1">
      <c r="A461" s="396"/>
      <c r="B461" s="396"/>
      <c r="C461" s="396"/>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0" customHeight="1">
      <c r="A462" s="396"/>
      <c r="B462" s="396"/>
      <c r="C462" s="396"/>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0" customHeight="1">
      <c r="A463" s="396"/>
      <c r="B463" s="396"/>
      <c r="C463" s="396"/>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0" customHeight="1">
      <c r="A464" s="396"/>
      <c r="B464" s="396"/>
      <c r="C464" s="396"/>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0" customHeight="1">
      <c r="A465" s="396"/>
      <c r="B465" s="396"/>
      <c r="C465" s="396"/>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0" customHeight="1">
      <c r="A466" s="396"/>
      <c r="B466" s="396"/>
      <c r="C466" s="396"/>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0" customHeight="1">
      <c r="A467" s="396"/>
      <c r="B467" s="396"/>
      <c r="C467" s="396"/>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0" customHeight="1">
      <c r="A468" s="396"/>
      <c r="B468" s="396"/>
      <c r="C468" s="396"/>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0" customHeight="1">
      <c r="A469" s="396"/>
      <c r="B469" s="396"/>
      <c r="C469" s="396"/>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0" customHeight="1">
      <c r="A470" s="396"/>
      <c r="B470" s="396"/>
      <c r="C470" s="396"/>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0" customHeight="1">
      <c r="A471" s="396"/>
      <c r="B471" s="396"/>
      <c r="C471" s="396"/>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0" customHeight="1">
      <c r="A472" s="396"/>
      <c r="B472" s="396"/>
      <c r="C472" s="396"/>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0" customHeight="1">
      <c r="A473" s="396"/>
      <c r="B473" s="396"/>
      <c r="C473" s="396"/>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0" customHeight="1">
      <c r="A474" s="396"/>
      <c r="B474" s="396"/>
      <c r="C474" s="396"/>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0" customHeight="1">
      <c r="A475" s="396"/>
      <c r="B475" s="396"/>
      <c r="C475" s="396"/>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0" customHeight="1">
      <c r="A476" s="396"/>
      <c r="B476" s="396"/>
      <c r="C476" s="396"/>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0" customHeight="1">
      <c r="A477" s="396"/>
      <c r="B477" s="396"/>
      <c r="C477" s="396"/>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0" customHeight="1">
      <c r="A478" s="396"/>
      <c r="B478" s="396"/>
      <c r="C478" s="396"/>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0" customHeight="1">
      <c r="A479" s="396"/>
      <c r="B479" s="396"/>
      <c r="C479" s="396"/>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0" customHeight="1">
      <c r="A480" s="396"/>
      <c r="B480" s="396"/>
      <c r="C480" s="396"/>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0" customHeight="1">
      <c r="A481" s="396"/>
      <c r="B481" s="396"/>
      <c r="C481" s="396"/>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0" customHeight="1">
      <c r="A482" s="396"/>
      <c r="B482" s="396"/>
      <c r="C482" s="396"/>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0" customHeight="1">
      <c r="A483" s="396"/>
      <c r="B483" s="396"/>
      <c r="C483" s="396"/>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0" customHeight="1">
      <c r="A484" s="396"/>
      <c r="B484" s="396"/>
      <c r="C484" s="396"/>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0" customHeight="1">
      <c r="A485" s="396"/>
      <c r="B485" s="396"/>
      <c r="C485" s="396"/>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0" customHeight="1">
      <c r="A486" s="396"/>
      <c r="B486" s="396"/>
      <c r="C486" s="396"/>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0" customHeight="1">
      <c r="A487" s="396"/>
      <c r="B487" s="396"/>
      <c r="C487" s="396"/>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0" customHeight="1">
      <c r="A488" s="396"/>
      <c r="B488" s="396"/>
      <c r="C488" s="396"/>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0" customHeight="1">
      <c r="A489" s="396"/>
      <c r="B489" s="396"/>
      <c r="C489" s="396"/>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0" customHeight="1">
      <c r="A490" s="396"/>
      <c r="B490" s="396"/>
      <c r="C490" s="396"/>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0" customHeight="1">
      <c r="A491" s="396"/>
      <c r="B491" s="396"/>
      <c r="C491" s="396"/>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0" customHeight="1">
      <c r="A492" s="396"/>
      <c r="B492" s="396"/>
      <c r="C492" s="396"/>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0" customHeight="1">
      <c r="A493" s="396"/>
      <c r="B493" s="396"/>
      <c r="C493" s="396"/>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0" customHeight="1">
      <c r="A494" s="396"/>
      <c r="B494" s="396"/>
      <c r="C494" s="396"/>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0" customHeight="1">
      <c r="A495" s="396"/>
      <c r="B495" s="396"/>
      <c r="C495" s="396"/>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0" customHeight="1">
      <c r="A496" s="396"/>
      <c r="B496" s="396"/>
      <c r="C496" s="396"/>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0" customHeight="1">
      <c r="A497" s="396"/>
      <c r="B497" s="396"/>
      <c r="C497" s="396"/>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0" customHeight="1">
      <c r="A498" s="396"/>
      <c r="B498" s="396"/>
      <c r="C498" s="396"/>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0" customHeight="1">
      <c r="A499" s="396"/>
      <c r="B499" s="396"/>
      <c r="C499" s="396"/>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0" customHeight="1">
      <c r="A500" s="396"/>
      <c r="B500" s="396"/>
      <c r="C500" s="396"/>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0" customHeight="1">
      <c r="A501" s="396"/>
      <c r="B501" s="396"/>
      <c r="C501" s="396"/>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0" customHeight="1">
      <c r="A502" s="396"/>
      <c r="B502" s="396"/>
      <c r="C502" s="396"/>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0" customHeight="1">
      <c r="A503" s="396"/>
      <c r="B503" s="396"/>
      <c r="C503" s="396"/>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0" customHeight="1">
      <c r="A504" s="396"/>
      <c r="B504" s="396"/>
      <c r="C504" s="396"/>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0" customHeight="1">
      <c r="A505" s="396"/>
      <c r="B505" s="396"/>
      <c r="C505" s="396"/>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0" customHeight="1">
      <c r="A506" s="396"/>
      <c r="B506" s="396"/>
      <c r="C506" s="396"/>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0" customHeight="1">
      <c r="A507" s="396"/>
      <c r="B507" s="396"/>
      <c r="C507" s="396"/>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0" customHeight="1">
      <c r="A508" s="396"/>
      <c r="B508" s="396"/>
      <c r="C508" s="396"/>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0" customHeight="1">
      <c r="A509" s="396"/>
      <c r="B509" s="396"/>
      <c r="C509" s="396"/>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0" customHeight="1">
      <c r="A510" s="396"/>
      <c r="B510" s="396"/>
      <c r="C510" s="396"/>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0" customHeight="1">
      <c r="A511" s="396"/>
      <c r="B511" s="396"/>
      <c r="C511" s="396"/>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0" customHeight="1">
      <c r="A512" s="396"/>
      <c r="B512" s="396"/>
      <c r="C512" s="396"/>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0" customHeight="1">
      <c r="A513" s="396"/>
      <c r="B513" s="396"/>
      <c r="C513" s="396"/>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0" customHeight="1">
      <c r="A514" s="396"/>
      <c r="B514" s="396"/>
      <c r="C514" s="396"/>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0" customHeight="1">
      <c r="A515" s="396"/>
      <c r="B515" s="396"/>
      <c r="C515" s="396"/>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0" customHeight="1">
      <c r="A516" s="396"/>
      <c r="B516" s="396"/>
      <c r="C516" s="396"/>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0" customHeight="1">
      <c r="A517" s="396"/>
      <c r="B517" s="396"/>
      <c r="C517" s="396"/>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0" customHeight="1">
      <c r="A518" s="396"/>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0" customHeight="1">
      <c r="A519" s="396"/>
      <c r="B519" s="396"/>
      <c r="C519" s="396"/>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0" customHeight="1">
      <c r="A520" s="396"/>
      <c r="B520" s="396"/>
      <c r="C520" s="396"/>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0" customHeight="1">
      <c r="A521" s="396"/>
      <c r="B521" s="396"/>
      <c r="C521" s="396"/>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0" customHeight="1">
      <c r="A522" s="396"/>
      <c r="B522" s="396"/>
      <c r="C522" s="396"/>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0" customHeight="1">
      <c r="A523" s="396"/>
      <c r="B523" s="396"/>
      <c r="C523" s="396"/>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0" customHeight="1">
      <c r="A524" s="396"/>
      <c r="B524" s="396"/>
      <c r="C524" s="396"/>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0" customHeight="1">
      <c r="A525" s="396"/>
      <c r="B525" s="396"/>
      <c r="C525" s="396"/>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0" customHeight="1">
      <c r="A526" s="396"/>
      <c r="B526" s="396"/>
      <c r="C526" s="396"/>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0" customHeight="1">
      <c r="A527" s="396"/>
      <c r="B527" s="396"/>
      <c r="C527" s="396"/>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0" customHeight="1">
      <c r="A528" s="396"/>
      <c r="B528" s="396"/>
      <c r="C528" s="396"/>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0" customHeight="1">
      <c r="A529" s="396"/>
      <c r="B529" s="396"/>
      <c r="C529" s="396"/>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0" customHeight="1">
      <c r="A530" s="396"/>
      <c r="B530" s="396"/>
      <c r="C530" s="396"/>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0" customHeight="1">
      <c r="A531" s="396"/>
      <c r="B531" s="396"/>
      <c r="C531" s="396"/>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0" customHeight="1">
      <c r="A532" s="396"/>
      <c r="B532" s="396"/>
      <c r="C532" s="396"/>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0" customHeight="1">
      <c r="A533" s="396"/>
      <c r="B533" s="396"/>
      <c r="C533" s="396"/>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0" customHeight="1">
      <c r="A534" s="396"/>
      <c r="B534" s="396"/>
      <c r="C534" s="396"/>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0" customHeight="1">
      <c r="A535" s="396"/>
      <c r="B535" s="396"/>
      <c r="C535" s="396"/>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0" customHeight="1">
      <c r="A536" s="396"/>
      <c r="B536" s="396"/>
      <c r="C536" s="396"/>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0" customHeight="1">
      <c r="A537" s="396"/>
      <c r="B537" s="396"/>
      <c r="C537" s="396"/>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0" customHeight="1">
      <c r="A538" s="396"/>
      <c r="B538" s="396"/>
      <c r="C538" s="396"/>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0" customHeight="1">
      <c r="A539" s="396"/>
      <c r="B539" s="396"/>
      <c r="C539" s="396"/>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0" customHeight="1">
      <c r="A540" s="396"/>
      <c r="B540" s="396"/>
      <c r="C540" s="396"/>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0" customHeight="1">
      <c r="A541" s="396"/>
      <c r="B541" s="396"/>
      <c r="C541" s="396"/>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0" customHeight="1">
      <c r="A542" s="396"/>
      <c r="B542" s="396"/>
      <c r="C542" s="396"/>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0" customHeight="1">
      <c r="A543" s="396"/>
      <c r="B543" s="396"/>
      <c r="C543" s="396"/>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0" customHeight="1">
      <c r="A544" s="396"/>
      <c r="B544" s="396"/>
      <c r="C544" s="396"/>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0" customHeight="1">
      <c r="A545" s="396"/>
      <c r="B545" s="396"/>
      <c r="C545" s="396"/>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0" customHeight="1">
      <c r="A546" s="396"/>
      <c r="B546" s="396"/>
      <c r="C546" s="396"/>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0" customHeight="1">
      <c r="A547" s="396"/>
      <c r="B547" s="396"/>
      <c r="C547" s="396"/>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0" customHeight="1">
      <c r="A548" s="396"/>
      <c r="B548" s="396"/>
      <c r="C548" s="396"/>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0" customHeight="1">
      <c r="A549" s="396"/>
      <c r="B549" s="396"/>
      <c r="C549" s="396"/>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0" customHeight="1">
      <c r="A550" s="396"/>
      <c r="B550" s="396"/>
      <c r="C550" s="396"/>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0" customHeight="1">
      <c r="A551" s="396"/>
      <c r="B551" s="396"/>
      <c r="C551" s="396"/>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0" customHeight="1">
      <c r="A552" s="396"/>
      <c r="B552" s="396"/>
      <c r="C552" s="396"/>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0" customHeight="1">
      <c r="A553" s="396"/>
      <c r="B553" s="396"/>
      <c r="C553" s="396"/>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0" customHeight="1">
      <c r="A554" s="396"/>
      <c r="B554" s="396"/>
      <c r="C554" s="396"/>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0" customHeight="1">
      <c r="A555" s="396"/>
      <c r="B555" s="396"/>
      <c r="C555" s="396"/>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0" customHeight="1">
      <c r="A556" s="396"/>
      <c r="B556" s="396"/>
      <c r="C556" s="396"/>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0" customHeight="1">
      <c r="A557" s="396"/>
      <c r="B557" s="396"/>
      <c r="C557" s="396"/>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0" customHeight="1">
      <c r="A558" s="396"/>
      <c r="B558" s="396"/>
      <c r="C558" s="396"/>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0" customHeight="1">
      <c r="A559" s="396"/>
      <c r="B559" s="396"/>
      <c r="C559" s="396"/>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0" customHeight="1">
      <c r="A560" s="396"/>
      <c r="B560" s="396"/>
      <c r="C560" s="396"/>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0" customHeight="1">
      <c r="A561" s="396"/>
      <c r="B561" s="396"/>
      <c r="C561" s="396"/>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0" customHeight="1">
      <c r="A562" s="396"/>
      <c r="B562" s="396"/>
      <c r="C562" s="396"/>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0" customHeight="1">
      <c r="A563" s="396"/>
      <c r="B563" s="396"/>
      <c r="C563" s="396"/>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0" customHeight="1">
      <c r="A564" s="396"/>
      <c r="B564" s="396"/>
      <c r="C564" s="396"/>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0" customHeight="1">
      <c r="A565" s="396"/>
      <c r="B565" s="396"/>
      <c r="C565" s="396"/>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0" customHeight="1">
      <c r="A566" s="396"/>
      <c r="B566" s="396"/>
      <c r="C566" s="396"/>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0" customHeight="1">
      <c r="A567" s="396"/>
      <c r="B567" s="396"/>
      <c r="C567" s="396"/>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0" customHeight="1">
      <c r="A568" s="396"/>
      <c r="B568" s="396"/>
      <c r="C568" s="396"/>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0" customHeight="1">
      <c r="A569" s="396"/>
      <c r="B569" s="396"/>
      <c r="C569" s="396"/>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0" customHeight="1">
      <c r="A570" s="396"/>
      <c r="B570" s="396"/>
      <c r="C570" s="396"/>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0" customHeight="1">
      <c r="A571" s="396"/>
      <c r="B571" s="396"/>
      <c r="C571" s="396"/>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0" customHeight="1">
      <c r="A572" s="396"/>
      <c r="B572" s="396"/>
      <c r="C572" s="396"/>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0" customHeight="1">
      <c r="A573" s="396"/>
      <c r="B573" s="396"/>
      <c r="C573" s="396"/>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0" customHeight="1">
      <c r="A574" s="396"/>
      <c r="B574" s="396"/>
      <c r="C574" s="396"/>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0" customHeight="1">
      <c r="A575" s="396"/>
      <c r="B575" s="396"/>
      <c r="C575" s="396"/>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0" customHeight="1">
      <c r="A576" s="396"/>
      <c r="B576" s="396"/>
      <c r="C576" s="396"/>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0" customHeight="1">
      <c r="A577" s="396"/>
      <c r="B577" s="396"/>
      <c r="C577" s="396"/>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0" customHeight="1">
      <c r="A578" s="396"/>
      <c r="B578" s="396"/>
      <c r="C578" s="396"/>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0" customHeight="1">
      <c r="A579" s="396"/>
      <c r="B579" s="396"/>
      <c r="C579" s="396"/>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0" customHeight="1">
      <c r="A580" s="396"/>
      <c r="B580" s="396"/>
      <c r="C580" s="396"/>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0" customHeight="1">
      <c r="A581" s="396"/>
      <c r="B581" s="396"/>
      <c r="C581" s="396"/>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0" customHeight="1">
      <c r="A582" s="396"/>
      <c r="B582" s="396"/>
      <c r="C582" s="396"/>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0" customHeight="1">
      <c r="A583" s="396"/>
      <c r="B583" s="396"/>
      <c r="C583" s="396"/>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0" customHeight="1">
      <c r="A584" s="396"/>
      <c r="B584" s="396"/>
      <c r="C584" s="396"/>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0" customHeight="1">
      <c r="A585" s="396"/>
      <c r="B585" s="396"/>
      <c r="C585" s="396"/>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0" customHeight="1">
      <c r="A586" s="396"/>
      <c r="B586" s="396"/>
      <c r="C586" s="396"/>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0" customHeight="1">
      <c r="A587" s="396"/>
      <c r="B587" s="396"/>
      <c r="C587" s="396"/>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0" customHeight="1">
      <c r="A588" s="396"/>
      <c r="B588" s="396"/>
      <c r="C588" s="396"/>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0" customHeight="1">
      <c r="A589" s="396"/>
      <c r="B589" s="396"/>
      <c r="C589" s="396"/>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0" customHeight="1">
      <c r="A590" s="396"/>
      <c r="B590" s="396"/>
      <c r="C590" s="396"/>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0" customHeight="1">
      <c r="A591" s="396"/>
      <c r="B591" s="396"/>
      <c r="C591" s="396"/>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0" customHeight="1">
      <c r="A592" s="396"/>
      <c r="B592" s="396"/>
      <c r="C592" s="396"/>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0" customHeight="1">
      <c r="A593" s="396"/>
      <c r="B593" s="396"/>
      <c r="C593" s="396"/>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0" customHeight="1">
      <c r="A594" s="396"/>
      <c r="B594" s="396"/>
      <c r="C594" s="396"/>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0" customHeight="1">
      <c r="A595" s="396"/>
      <c r="B595" s="396"/>
      <c r="C595" s="396"/>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0" customHeight="1">
      <c r="A596" s="396"/>
      <c r="B596" s="396"/>
      <c r="C596" s="396"/>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0" customHeight="1">
      <c r="A597" s="396"/>
      <c r="B597" s="396"/>
      <c r="C597" s="396"/>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0" customHeight="1">
      <c r="A598" s="396"/>
      <c r="B598" s="396"/>
      <c r="C598" s="396"/>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0" customHeight="1">
      <c r="A599" s="396"/>
      <c r="B599" s="396"/>
      <c r="C599" s="396"/>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0" customHeight="1">
      <c r="A600" s="396"/>
      <c r="B600" s="396"/>
      <c r="C600" s="396"/>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0" customHeight="1">
      <c r="A601" s="396"/>
      <c r="B601" s="396"/>
      <c r="C601" s="396"/>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0" customHeight="1">
      <c r="A602" s="396"/>
      <c r="B602" s="396"/>
      <c r="C602" s="396"/>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0" customHeight="1">
      <c r="A603" s="396"/>
      <c r="B603" s="396"/>
      <c r="C603" s="396"/>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0" customHeight="1">
      <c r="A604" s="396"/>
      <c r="B604" s="396"/>
      <c r="C604" s="396"/>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0" customHeight="1">
      <c r="A605" s="396"/>
      <c r="B605" s="396"/>
      <c r="C605" s="396"/>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0" customHeight="1">
      <c r="A606" s="396"/>
      <c r="B606" s="396"/>
      <c r="C606" s="396"/>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0" customHeight="1">
      <c r="A607" s="396"/>
      <c r="B607" s="396"/>
      <c r="C607" s="396"/>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0" customHeight="1">
      <c r="A608" s="396"/>
      <c r="B608" s="396"/>
      <c r="C608" s="396"/>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0" customHeight="1">
      <c r="A609" s="396"/>
      <c r="B609" s="396"/>
      <c r="C609" s="396"/>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0" customHeight="1">
      <c r="A610" s="396"/>
      <c r="B610" s="396"/>
      <c r="C610" s="396"/>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0" customHeight="1">
      <c r="A611" s="396"/>
      <c r="B611" s="396"/>
      <c r="C611" s="396"/>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0" customHeight="1">
      <c r="A612" s="396"/>
      <c r="B612" s="396"/>
      <c r="C612" s="396"/>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0" customHeight="1">
      <c r="A613" s="396"/>
      <c r="B613" s="396"/>
      <c r="C613" s="396"/>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0" customHeight="1">
      <c r="A614" s="396"/>
      <c r="B614" s="396"/>
      <c r="C614" s="396"/>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0" customHeight="1">
      <c r="A615" s="396"/>
      <c r="B615" s="396"/>
      <c r="C615" s="396"/>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0" customHeight="1">
      <c r="A616" s="396"/>
      <c r="B616" s="396"/>
      <c r="C616" s="396"/>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0" customHeight="1">
      <c r="A617" s="396"/>
      <c r="B617" s="396"/>
      <c r="C617" s="396"/>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0" customHeight="1">
      <c r="A618" s="396"/>
      <c r="B618" s="396"/>
      <c r="C618" s="396"/>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0" customHeight="1">
      <c r="A619" s="396"/>
      <c r="B619" s="396"/>
      <c r="C619" s="396"/>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0" customHeight="1">
      <c r="A620" s="396"/>
      <c r="B620" s="396"/>
      <c r="C620" s="396"/>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0" customHeight="1">
      <c r="A621" s="396"/>
      <c r="B621" s="396"/>
      <c r="C621" s="396"/>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0" customHeight="1">
      <c r="A622" s="396"/>
      <c r="B622" s="396"/>
      <c r="C622" s="396"/>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0" customHeight="1">
      <c r="A623" s="396"/>
      <c r="B623" s="396"/>
      <c r="C623" s="396"/>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0" customHeight="1">
      <c r="A624" s="396"/>
      <c r="B624" s="396"/>
      <c r="C624" s="396"/>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0" customHeight="1">
      <c r="A625" s="396"/>
      <c r="B625" s="396"/>
      <c r="C625" s="396"/>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0" customHeight="1">
      <c r="A626" s="396"/>
      <c r="B626" s="396"/>
      <c r="C626" s="396"/>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0" customHeight="1">
      <c r="A627" s="396"/>
      <c r="B627" s="396"/>
      <c r="C627" s="396"/>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0" customHeight="1">
      <c r="A628" s="396"/>
      <c r="B628" s="396"/>
      <c r="C628" s="396"/>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0" customHeight="1">
      <c r="A629" s="396"/>
      <c r="B629" s="396"/>
      <c r="C629" s="396"/>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0" customHeight="1">
      <c r="A630" s="396"/>
      <c r="B630" s="396"/>
      <c r="C630" s="396"/>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0" customHeight="1">
      <c r="A631" s="396"/>
      <c r="B631" s="396"/>
      <c r="C631" s="396"/>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0" customHeight="1">
      <c r="A632" s="396"/>
      <c r="B632" s="396"/>
      <c r="C632" s="396"/>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0" customHeight="1">
      <c r="A633" s="396"/>
      <c r="B633" s="396"/>
      <c r="C633" s="396"/>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0" customHeight="1">
      <c r="A634" s="396"/>
      <c r="B634" s="396"/>
      <c r="C634" s="396"/>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0" customHeight="1">
      <c r="A635" s="396"/>
      <c r="B635" s="396"/>
      <c r="C635" s="396"/>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0" customHeight="1">
      <c r="A636" s="396"/>
      <c r="B636" s="396"/>
      <c r="C636" s="396"/>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0" customHeight="1">
      <c r="A637" s="396"/>
      <c r="B637" s="396"/>
      <c r="C637" s="396"/>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0" customHeight="1">
      <c r="A638" s="396"/>
      <c r="B638" s="396"/>
      <c r="C638" s="396"/>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0" customHeight="1">
      <c r="A639" s="396"/>
      <c r="B639" s="396"/>
      <c r="C639" s="396"/>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0" customHeight="1">
      <c r="A640" s="396"/>
      <c r="B640" s="396"/>
      <c r="C640" s="396"/>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0" customHeight="1">
      <c r="A641" s="396"/>
      <c r="B641" s="396"/>
      <c r="C641" s="396"/>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0" customHeight="1">
      <c r="A642" s="396"/>
      <c r="B642" s="396"/>
      <c r="C642" s="396"/>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0" customHeight="1">
      <c r="A643" s="396"/>
      <c r="B643" s="396"/>
      <c r="C643" s="396"/>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0" customHeight="1">
      <c r="A644" s="396"/>
      <c r="B644" s="396"/>
      <c r="C644" s="396"/>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0" customHeight="1">
      <c r="A645" s="396"/>
      <c r="B645" s="396"/>
      <c r="C645" s="396"/>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0" customHeight="1">
      <c r="A646" s="396"/>
      <c r="B646" s="396"/>
      <c r="C646" s="396"/>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0" customHeight="1">
      <c r="A647" s="396"/>
      <c r="B647" s="396"/>
      <c r="C647" s="396"/>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0" customHeight="1">
      <c r="A648" s="396"/>
      <c r="B648" s="396"/>
      <c r="C648" s="396"/>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0" customHeight="1">
      <c r="A649" s="396"/>
      <c r="B649" s="396"/>
      <c r="C649" s="396"/>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0" customHeight="1">
      <c r="A650" s="396"/>
      <c r="B650" s="396"/>
      <c r="C650" s="396"/>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0" customHeight="1">
      <c r="A651" s="396"/>
      <c r="B651" s="396"/>
      <c r="C651" s="396"/>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0" customHeight="1">
      <c r="A652" s="396"/>
      <c r="B652" s="396"/>
      <c r="C652" s="396"/>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0" customHeight="1">
      <c r="A653" s="396"/>
      <c r="B653" s="396"/>
      <c r="C653" s="396"/>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0" customHeight="1">
      <c r="A654" s="396"/>
      <c r="B654" s="396"/>
      <c r="C654" s="396"/>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0" customHeight="1">
      <c r="A655" s="396"/>
      <c r="B655" s="396"/>
      <c r="C655" s="396"/>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0" customHeight="1">
      <c r="A656" s="396"/>
      <c r="B656" s="396"/>
      <c r="C656" s="396"/>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0" customHeight="1">
      <c r="A657" s="396"/>
      <c r="B657" s="396"/>
      <c r="C657" s="396"/>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0" customHeight="1">
      <c r="A658" s="396"/>
      <c r="B658" s="396"/>
      <c r="C658" s="396"/>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0" customHeight="1">
      <c r="A659" s="396"/>
      <c r="B659" s="396"/>
      <c r="C659" s="396"/>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0" customHeight="1">
      <c r="A660" s="396"/>
      <c r="B660" s="396"/>
      <c r="C660" s="396"/>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0" customHeight="1">
      <c r="A661" s="396"/>
      <c r="B661" s="396"/>
      <c r="C661" s="396"/>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0" customHeight="1">
      <c r="A662" s="396"/>
      <c r="B662" s="396"/>
      <c r="C662" s="396"/>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0" customHeight="1">
      <c r="A663" s="396"/>
      <c r="B663" s="396"/>
      <c r="C663" s="396"/>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0" customHeight="1">
      <c r="A664" s="396"/>
      <c r="B664" s="396"/>
      <c r="C664" s="396"/>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0" customHeight="1">
      <c r="A665" s="396"/>
      <c r="B665" s="396"/>
      <c r="C665" s="396"/>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0" customHeight="1">
      <c r="A666" s="396"/>
      <c r="B666" s="396"/>
      <c r="C666" s="396"/>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0" customHeight="1">
      <c r="A667" s="396"/>
      <c r="B667" s="396"/>
      <c r="C667" s="396"/>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0" customHeight="1">
      <c r="A668" s="396"/>
      <c r="B668" s="396"/>
      <c r="C668" s="396"/>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0" customHeight="1">
      <c r="A669" s="396"/>
      <c r="B669" s="396"/>
      <c r="C669" s="396"/>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0" customHeight="1">
      <c r="A670" s="396"/>
      <c r="B670" s="396"/>
      <c r="C670" s="396"/>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0" customHeight="1">
      <c r="A671" s="396"/>
      <c r="B671" s="396"/>
      <c r="C671" s="396"/>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0" customHeight="1">
      <c r="A672" s="396"/>
      <c r="B672" s="396"/>
      <c r="C672" s="396"/>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0" customHeight="1">
      <c r="A673" s="396"/>
      <c r="B673" s="396"/>
      <c r="C673" s="396"/>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0" customHeight="1">
      <c r="A674" s="396"/>
      <c r="B674" s="396"/>
      <c r="C674" s="396"/>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0" customHeight="1">
      <c r="A675" s="396"/>
      <c r="B675" s="396"/>
      <c r="C675" s="396"/>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0" customHeight="1">
      <c r="A676" s="396"/>
      <c r="B676" s="396"/>
      <c r="C676" s="396"/>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0" customHeight="1">
      <c r="A677" s="396"/>
      <c r="B677" s="396"/>
      <c r="C677" s="396"/>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0" customHeight="1">
      <c r="A678" s="396"/>
      <c r="B678" s="396"/>
      <c r="C678" s="396"/>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0" customHeight="1">
      <c r="A679" s="396"/>
      <c r="B679" s="396"/>
      <c r="C679" s="396"/>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0" customHeight="1">
      <c r="A680" s="396"/>
      <c r="B680" s="396"/>
      <c r="C680" s="396"/>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0" customHeight="1">
      <c r="A681" s="396"/>
      <c r="B681" s="396"/>
      <c r="C681" s="396"/>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0" customHeight="1">
      <c r="A682" s="396"/>
      <c r="B682" s="396"/>
      <c r="C682" s="396"/>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0" customHeight="1">
      <c r="A683" s="396"/>
      <c r="B683" s="396"/>
      <c r="C683" s="396"/>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0" customHeight="1">
      <c r="A684" s="396"/>
      <c r="B684" s="396"/>
      <c r="C684" s="396"/>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0" customHeight="1">
      <c r="A685" s="396"/>
      <c r="B685" s="396"/>
      <c r="C685" s="396"/>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0" customHeight="1">
      <c r="A686" s="396"/>
      <c r="B686" s="396"/>
      <c r="C686" s="396"/>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0" customHeight="1">
      <c r="A687" s="396"/>
      <c r="B687" s="396"/>
      <c r="C687" s="396"/>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0" customHeight="1">
      <c r="A688" s="396"/>
      <c r="B688" s="396"/>
      <c r="C688" s="396"/>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0" customHeight="1">
      <c r="A689" s="396"/>
      <c r="B689" s="396"/>
      <c r="C689" s="396"/>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0" customHeight="1">
      <c r="A690" s="396"/>
      <c r="B690" s="396"/>
      <c r="C690" s="396"/>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0" customHeight="1">
      <c r="A691" s="396"/>
      <c r="B691" s="396"/>
      <c r="C691" s="396"/>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0" customHeight="1">
      <c r="A692" s="396"/>
      <c r="B692" s="396"/>
      <c r="C692" s="396"/>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0" customHeight="1">
      <c r="A693" s="396"/>
      <c r="B693" s="396"/>
      <c r="C693" s="396"/>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0" customHeight="1">
      <c r="A694" s="396"/>
      <c r="B694" s="396"/>
      <c r="C694" s="396"/>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0" customHeight="1">
      <c r="A695" s="396"/>
      <c r="B695" s="396"/>
      <c r="C695" s="396"/>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0" customHeight="1">
      <c r="A696" s="396"/>
      <c r="B696" s="396"/>
      <c r="C696" s="396"/>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0" customHeight="1">
      <c r="A697" s="396"/>
      <c r="B697" s="396"/>
      <c r="C697" s="396"/>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0" customHeight="1">
      <c r="A698" s="396"/>
      <c r="B698" s="396"/>
      <c r="C698" s="396"/>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0" customHeight="1">
      <c r="A699" s="396"/>
      <c r="B699" s="396"/>
      <c r="C699" s="396"/>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0" customHeight="1">
      <c r="A700" s="396"/>
      <c r="B700" s="396"/>
      <c r="C700" s="396"/>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0" customHeight="1">
      <c r="A701" s="396"/>
      <c r="B701" s="396"/>
      <c r="C701" s="396"/>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0" customHeight="1">
      <c r="A702" s="396"/>
      <c r="B702" s="396"/>
      <c r="C702" s="396"/>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0" customHeight="1">
      <c r="A703" s="396"/>
      <c r="B703" s="396"/>
      <c r="C703" s="396"/>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0" customHeight="1">
      <c r="A704" s="396"/>
      <c r="B704" s="396"/>
      <c r="C704" s="396"/>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0" customHeight="1">
      <c r="A705" s="396"/>
      <c r="B705" s="396"/>
      <c r="C705" s="396"/>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0" customHeight="1">
      <c r="A706" s="396"/>
      <c r="B706" s="396"/>
      <c r="C706" s="396"/>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0" customHeight="1">
      <c r="A707" s="396"/>
      <c r="B707" s="396"/>
      <c r="C707" s="396"/>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0" customHeight="1">
      <c r="A708" s="396"/>
      <c r="B708" s="396"/>
      <c r="C708" s="396"/>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0" customHeight="1">
      <c r="A709" s="396"/>
      <c r="B709" s="396"/>
      <c r="C709" s="396"/>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0" customHeight="1">
      <c r="A710" s="396"/>
      <c r="B710" s="396"/>
      <c r="C710" s="396"/>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0" customHeight="1">
      <c r="A711" s="396"/>
      <c r="B711" s="396"/>
      <c r="C711" s="396"/>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0" customHeight="1">
      <c r="A712" s="396"/>
      <c r="B712" s="396"/>
      <c r="C712" s="396"/>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0" customHeight="1">
      <c r="A713" s="396"/>
      <c r="B713" s="396"/>
      <c r="C713" s="396"/>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0" customHeight="1">
      <c r="A714" s="396"/>
      <c r="B714" s="396"/>
      <c r="C714" s="396"/>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0" customHeight="1">
      <c r="A715" s="396"/>
      <c r="B715" s="396"/>
      <c r="C715" s="396"/>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0" customHeight="1">
      <c r="A716" s="396"/>
      <c r="B716" s="396"/>
      <c r="C716" s="396"/>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0" customHeight="1">
      <c r="A717" s="396"/>
      <c r="B717" s="396"/>
      <c r="C717" s="396"/>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0" customHeight="1">
      <c r="A718" s="396"/>
      <c r="B718" s="396"/>
      <c r="C718" s="396"/>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0" customHeight="1">
      <c r="A719" s="396"/>
      <c r="B719" s="396"/>
      <c r="C719" s="396"/>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0" customHeight="1">
      <c r="A720" s="396"/>
      <c r="B720" s="396"/>
      <c r="C720" s="396"/>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0" customHeight="1">
      <c r="A721" s="396"/>
      <c r="B721" s="396"/>
      <c r="C721" s="396"/>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0" customHeight="1">
      <c r="A722" s="396"/>
      <c r="B722" s="396"/>
      <c r="C722" s="396"/>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0" customHeight="1">
      <c r="A723" s="396"/>
      <c r="B723" s="396"/>
      <c r="C723" s="396"/>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0" customHeight="1">
      <c r="A724" s="396"/>
      <c r="B724" s="396"/>
      <c r="C724" s="396"/>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0" customHeight="1">
      <c r="A725" s="396"/>
      <c r="B725" s="396"/>
      <c r="C725" s="396"/>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0" customHeight="1">
      <c r="A726" s="396"/>
      <c r="B726" s="396"/>
      <c r="C726" s="396"/>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0" customHeight="1">
      <c r="A727" s="396"/>
      <c r="B727" s="396"/>
      <c r="C727" s="396"/>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0" customHeight="1">
      <c r="A728" s="396"/>
      <c r="B728" s="396"/>
      <c r="C728" s="396"/>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0" customHeight="1">
      <c r="A729" s="396"/>
      <c r="B729" s="396"/>
      <c r="C729" s="396"/>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0" customHeight="1">
      <c r="A730" s="396"/>
      <c r="B730" s="396"/>
      <c r="C730" s="396"/>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0" customHeight="1">
      <c r="A731" s="396"/>
      <c r="B731" s="396"/>
      <c r="C731" s="396"/>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0" customHeight="1">
      <c r="A732" s="396"/>
      <c r="B732" s="396"/>
      <c r="C732" s="396"/>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0" customHeight="1">
      <c r="A733" s="396"/>
      <c r="B733" s="396"/>
      <c r="C733" s="396"/>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0" customHeight="1">
      <c r="A734" s="396"/>
      <c r="B734" s="396"/>
      <c r="C734" s="396"/>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0" customHeight="1">
      <c r="A735" s="396"/>
      <c r="B735" s="396"/>
      <c r="C735" s="396"/>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0" customHeight="1">
      <c r="A736" s="396"/>
      <c r="B736" s="396"/>
      <c r="C736" s="396"/>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0" customHeight="1">
      <c r="A737" s="396"/>
      <c r="B737" s="396"/>
      <c r="C737" s="396"/>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0" customHeight="1">
      <c r="A738" s="396"/>
      <c r="B738" s="396"/>
      <c r="C738" s="396"/>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0" customHeight="1">
      <c r="A739" s="396"/>
      <c r="B739" s="396"/>
      <c r="C739" s="396"/>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0" customHeight="1">
      <c r="A740" s="396"/>
      <c r="B740" s="396"/>
      <c r="C740" s="396"/>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0" customHeight="1">
      <c r="A741" s="396"/>
      <c r="B741" s="396"/>
      <c r="C741" s="396"/>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0" customHeight="1">
      <c r="A742" s="396"/>
      <c r="B742" s="396"/>
      <c r="C742" s="396"/>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0" customHeight="1">
      <c r="A743" s="396"/>
      <c r="B743" s="396"/>
      <c r="C743" s="396"/>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0" customHeight="1">
      <c r="A744" s="396"/>
      <c r="B744" s="396"/>
      <c r="C744" s="396"/>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0" customHeight="1">
      <c r="A745" s="396"/>
      <c r="B745" s="396"/>
      <c r="C745" s="396"/>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0" customHeight="1">
      <c r="A746" s="396"/>
      <c r="B746" s="396"/>
      <c r="C746" s="396"/>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0" customHeight="1">
      <c r="A747" s="396"/>
      <c r="B747" s="396"/>
      <c r="C747" s="396"/>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0" customHeight="1">
      <c r="A748" s="396"/>
      <c r="B748" s="396"/>
      <c r="C748" s="396"/>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0" customHeight="1">
      <c r="A749" s="396"/>
      <c r="B749" s="396"/>
      <c r="C749" s="396"/>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0" customHeight="1">
      <c r="A750" s="396"/>
      <c r="B750" s="396"/>
      <c r="C750" s="396"/>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0" customHeight="1">
      <c r="A751" s="396"/>
      <c r="B751" s="396"/>
      <c r="C751" s="396"/>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0" customHeight="1">
      <c r="A752" s="396"/>
      <c r="B752" s="396"/>
      <c r="C752" s="396"/>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0" customHeight="1">
      <c r="A753" s="396"/>
      <c r="B753" s="396"/>
      <c r="C753" s="396"/>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0" customHeight="1">
      <c r="A754" s="396"/>
      <c r="B754" s="396"/>
      <c r="C754" s="396"/>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0" customHeight="1">
      <c r="A755" s="396"/>
      <c r="B755" s="396"/>
      <c r="C755" s="396"/>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0" customHeight="1">
      <c r="A756" s="396"/>
      <c r="B756" s="396"/>
      <c r="C756" s="396"/>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0" customHeight="1">
      <c r="A757" s="396"/>
      <c r="B757" s="396"/>
      <c r="C757" s="396"/>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0" customHeight="1">
      <c r="A758" s="396"/>
      <c r="B758" s="396"/>
      <c r="C758" s="396"/>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0" customHeight="1">
      <c r="A759" s="396"/>
      <c r="B759" s="396"/>
      <c r="C759" s="396"/>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0" customHeight="1">
      <c r="A760" s="396"/>
      <c r="B760" s="396"/>
      <c r="C760" s="396"/>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0" customHeight="1">
      <c r="A761" s="396"/>
      <c r="B761" s="396"/>
      <c r="C761" s="396"/>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0" customHeight="1">
      <c r="A762" s="396"/>
      <c r="B762" s="396"/>
      <c r="C762" s="396"/>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0" customHeight="1">
      <c r="A763" s="396"/>
      <c r="B763" s="396"/>
      <c r="C763" s="396"/>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0" customHeight="1">
      <c r="A764" s="396"/>
      <c r="B764" s="396"/>
      <c r="C764" s="396"/>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0" customHeight="1">
      <c r="A765" s="396"/>
      <c r="B765" s="396"/>
      <c r="C765" s="396"/>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0" customHeight="1">
      <c r="A766" s="396"/>
      <c r="B766" s="396"/>
      <c r="C766" s="396"/>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0" customHeight="1">
      <c r="A767" s="396"/>
      <c r="B767" s="396"/>
      <c r="C767" s="396"/>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0" customHeight="1">
      <c r="A768" s="396"/>
      <c r="B768" s="396"/>
      <c r="C768" s="396"/>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0" customHeight="1">
      <c r="A769" s="396"/>
      <c r="B769" s="396"/>
      <c r="C769" s="396"/>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0" customHeight="1">
      <c r="A770" s="396"/>
      <c r="B770" s="396"/>
      <c r="C770" s="396"/>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0" customHeight="1">
      <c r="A771" s="396"/>
      <c r="B771" s="396"/>
      <c r="C771" s="396"/>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0" customHeight="1">
      <c r="A772" s="396"/>
      <c r="B772" s="396"/>
      <c r="C772" s="396"/>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0" customHeight="1">
      <c r="A773" s="396"/>
      <c r="B773" s="396"/>
      <c r="C773" s="396"/>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0" customHeight="1">
      <c r="A774" s="396"/>
      <c r="B774" s="396"/>
      <c r="C774" s="396"/>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0" customHeight="1">
      <c r="A775" s="396"/>
      <c r="B775" s="396"/>
      <c r="C775" s="396"/>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0" customHeight="1">
      <c r="A776" s="396"/>
      <c r="B776" s="396"/>
      <c r="C776" s="396"/>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0" customHeight="1">
      <c r="A777" s="396"/>
      <c r="B777" s="396"/>
      <c r="C777" s="396"/>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0" customHeight="1">
      <c r="A778" s="396"/>
      <c r="B778" s="396"/>
      <c r="C778" s="396"/>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0" customHeight="1">
      <c r="A779" s="396"/>
      <c r="B779" s="396"/>
      <c r="C779" s="396"/>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0" customHeight="1">
      <c r="A780" s="396"/>
      <c r="B780" s="396"/>
      <c r="C780" s="396"/>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0" customHeight="1">
      <c r="A781" s="396"/>
      <c r="B781" s="396"/>
      <c r="C781" s="396"/>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0" customHeight="1">
      <c r="A782" s="396"/>
      <c r="B782" s="396"/>
      <c r="C782" s="396"/>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0" customHeight="1">
      <c r="A783" s="396"/>
      <c r="B783" s="396"/>
      <c r="C783" s="396"/>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0" customHeight="1">
      <c r="A784" s="396"/>
      <c r="B784" s="396"/>
      <c r="C784" s="396"/>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0" customHeight="1">
      <c r="A785" s="396"/>
      <c r="B785" s="396"/>
      <c r="C785" s="396"/>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0" customHeight="1">
      <c r="A786" s="396"/>
      <c r="B786" s="396"/>
      <c r="C786" s="396"/>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0" customHeight="1">
      <c r="A787" s="396"/>
      <c r="B787" s="396"/>
      <c r="C787" s="396"/>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0" customHeight="1">
      <c r="A788" s="396"/>
      <c r="B788" s="396"/>
      <c r="C788" s="396"/>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0" customHeight="1">
      <c r="A789" s="396"/>
      <c r="B789" s="396"/>
      <c r="C789" s="396"/>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0" customHeight="1">
      <c r="A790" s="396"/>
      <c r="B790" s="396"/>
      <c r="C790" s="396"/>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0" customHeight="1">
      <c r="A791" s="396"/>
      <c r="B791" s="396"/>
      <c r="C791" s="396"/>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0" customHeight="1">
      <c r="A792" s="396"/>
      <c r="B792" s="396"/>
      <c r="C792" s="396"/>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0" customHeight="1">
      <c r="A793" s="396"/>
      <c r="B793" s="396"/>
      <c r="C793" s="396"/>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0" customHeight="1">
      <c r="A794" s="396"/>
      <c r="B794" s="396"/>
      <c r="C794" s="396"/>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0" customHeight="1">
      <c r="A795" s="396"/>
      <c r="B795" s="396"/>
      <c r="C795" s="396"/>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0" customHeight="1">
      <c r="A796" s="396"/>
      <c r="B796" s="396"/>
      <c r="C796" s="396"/>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0" customHeight="1">
      <c r="A797" s="396"/>
      <c r="B797" s="396"/>
      <c r="C797" s="396"/>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0" customHeight="1">
      <c r="A798" s="396"/>
      <c r="B798" s="396"/>
      <c r="C798" s="396"/>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0" customHeight="1">
      <c r="A799" s="396"/>
      <c r="B799" s="396"/>
      <c r="C799" s="396"/>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0" customHeight="1">
      <c r="A800" s="396"/>
      <c r="B800" s="396"/>
      <c r="C800" s="396"/>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0" customHeight="1">
      <c r="A801" s="396"/>
      <c r="B801" s="396"/>
      <c r="C801" s="396"/>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0" customHeight="1">
      <c r="A802" s="396"/>
      <c r="B802" s="396"/>
      <c r="C802" s="396"/>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0" customHeight="1">
      <c r="A803" s="396"/>
      <c r="B803" s="396"/>
      <c r="C803" s="396"/>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0" customHeight="1">
      <c r="A804" s="396"/>
      <c r="B804" s="396"/>
      <c r="C804" s="396"/>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0" customHeight="1">
      <c r="A805" s="396"/>
      <c r="B805" s="396"/>
      <c r="C805" s="396"/>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0" customHeight="1">
      <c r="A806" s="396"/>
      <c r="B806" s="396"/>
      <c r="C806" s="396"/>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0" customHeight="1">
      <c r="A807" s="396"/>
      <c r="B807" s="396"/>
      <c r="C807" s="396"/>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0" customHeight="1">
      <c r="A808" s="396"/>
      <c r="B808" s="396"/>
      <c r="C808" s="396"/>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0" customHeight="1">
      <c r="A809" s="396"/>
      <c r="B809" s="396"/>
      <c r="C809" s="396"/>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0" customHeight="1">
      <c r="A810" s="396"/>
      <c r="B810" s="396"/>
      <c r="C810" s="396"/>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0" customHeight="1">
      <c r="A811" s="396"/>
      <c r="B811" s="396"/>
      <c r="C811" s="396"/>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0" customHeight="1">
      <c r="A812" s="396"/>
      <c r="B812" s="396"/>
      <c r="C812" s="396"/>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0" customHeight="1">
      <c r="A813" s="396"/>
      <c r="B813" s="396"/>
      <c r="C813" s="396"/>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0" customHeight="1">
      <c r="A814" s="396"/>
      <c r="B814" s="396"/>
      <c r="C814" s="396"/>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0" customHeight="1">
      <c r="A815" s="396"/>
      <c r="B815" s="396"/>
      <c r="C815" s="396"/>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0" customHeight="1">
      <c r="A816" s="396"/>
      <c r="B816" s="396"/>
      <c r="C816" s="396"/>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0" customHeight="1">
      <c r="A817" s="396"/>
      <c r="B817" s="396"/>
      <c r="C817" s="396"/>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0" customHeight="1">
      <c r="A818" s="396"/>
      <c r="B818" s="396"/>
      <c r="C818" s="396"/>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0" customHeight="1">
      <c r="A819" s="396"/>
      <c r="B819" s="396"/>
      <c r="C819" s="396"/>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0" customHeight="1">
      <c r="A820" s="396"/>
      <c r="B820" s="396"/>
      <c r="C820" s="396"/>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0" customHeight="1">
      <c r="A821" s="396"/>
      <c r="B821" s="396"/>
      <c r="C821" s="396"/>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0" customHeight="1">
      <c r="A822" s="396"/>
      <c r="B822" s="396"/>
      <c r="C822" s="396"/>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0" customHeight="1">
      <c r="A823" s="396"/>
      <c r="B823" s="396"/>
      <c r="C823" s="396"/>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0" customHeight="1">
      <c r="A824" s="396"/>
      <c r="B824" s="396"/>
      <c r="C824" s="396"/>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0" customHeight="1">
      <c r="A825" s="396"/>
      <c r="B825" s="396"/>
      <c r="C825" s="396"/>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0" customHeight="1">
      <c r="A826" s="396"/>
      <c r="B826" s="396"/>
      <c r="C826" s="396"/>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0" customHeight="1">
      <c r="A827" s="396"/>
      <c r="B827" s="396"/>
      <c r="C827" s="396"/>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0" customHeight="1">
      <c r="A828" s="396"/>
      <c r="B828" s="396"/>
      <c r="C828" s="396"/>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0" customHeight="1">
      <c r="A829" s="396"/>
      <c r="B829" s="396"/>
      <c r="C829" s="396"/>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0" customHeight="1">
      <c r="A830" s="396"/>
      <c r="B830" s="396"/>
      <c r="C830" s="396"/>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0" customHeight="1">
      <c r="A831" s="396"/>
      <c r="B831" s="396"/>
      <c r="C831" s="396"/>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0" customHeight="1">
      <c r="A832" s="396"/>
      <c r="B832" s="396"/>
      <c r="C832" s="396"/>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0" customHeight="1">
      <c r="A833" s="396"/>
      <c r="B833" s="396"/>
      <c r="C833" s="396"/>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0" customHeight="1">
      <c r="A834" s="396"/>
      <c r="B834" s="396"/>
      <c r="C834" s="396"/>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0" customHeight="1">
      <c r="A835" s="396"/>
      <c r="B835" s="396"/>
      <c r="C835" s="396"/>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0" customHeight="1">
      <c r="A836" s="396"/>
      <c r="B836" s="396"/>
      <c r="C836" s="396"/>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0" customHeight="1">
      <c r="A837" s="396"/>
      <c r="B837" s="396"/>
      <c r="C837" s="396"/>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0" customHeight="1">
      <c r="A838" s="396"/>
      <c r="B838" s="396"/>
      <c r="C838" s="396"/>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0" customHeight="1">
      <c r="A839" s="396"/>
      <c r="B839" s="396"/>
      <c r="C839" s="396"/>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0" customHeight="1">
      <c r="A840" s="396"/>
      <c r="B840" s="396"/>
      <c r="C840" s="396"/>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0" customHeight="1">
      <c r="A841" s="396"/>
      <c r="B841" s="396"/>
      <c r="C841" s="396"/>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0" customHeight="1">
      <c r="A842" s="396"/>
      <c r="B842" s="396"/>
      <c r="C842" s="396"/>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0" customHeight="1">
      <c r="A843" s="396"/>
      <c r="B843" s="396"/>
      <c r="C843" s="396"/>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0" customHeight="1">
      <c r="A844" s="396"/>
      <c r="B844" s="396"/>
      <c r="C844" s="396"/>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0" customHeight="1">
      <c r="A845" s="396"/>
      <c r="B845" s="396"/>
      <c r="C845" s="396"/>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0" customHeight="1">
      <c r="A846" s="396"/>
      <c r="B846" s="396"/>
      <c r="C846" s="396"/>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0" customHeight="1">
      <c r="A847" s="396"/>
      <c r="B847" s="396"/>
      <c r="C847" s="396"/>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0" customHeight="1">
      <c r="A848" s="396"/>
      <c r="B848" s="396"/>
      <c r="C848" s="396"/>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0" customHeight="1">
      <c r="A849" s="396"/>
      <c r="B849" s="396"/>
      <c r="C849" s="396"/>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0" customHeight="1">
      <c r="A850" s="396"/>
      <c r="B850" s="396"/>
      <c r="C850" s="396"/>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0" customHeight="1">
      <c r="A851" s="396"/>
      <c r="B851" s="396"/>
      <c r="C851" s="396"/>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0" customHeight="1">
      <c r="A852" s="396"/>
      <c r="B852" s="396"/>
      <c r="C852" s="396"/>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0" customHeight="1">
      <c r="A853" s="396"/>
      <c r="B853" s="396"/>
      <c r="C853" s="396"/>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0" customHeight="1">
      <c r="A854" s="396"/>
      <c r="B854" s="396"/>
      <c r="C854" s="396"/>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0" customHeight="1">
      <c r="A855" s="396"/>
      <c r="B855" s="396"/>
      <c r="C855" s="396"/>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0" customHeight="1">
      <c r="A856" s="396"/>
      <c r="B856" s="396"/>
      <c r="C856" s="396"/>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0" customHeight="1">
      <c r="A857" s="396"/>
      <c r="B857" s="396"/>
      <c r="C857" s="396"/>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0" customHeight="1">
      <c r="A858" s="396"/>
      <c r="B858" s="396"/>
      <c r="C858" s="396"/>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0" customHeight="1">
      <c r="A859" s="396"/>
      <c r="B859" s="396"/>
      <c r="C859" s="396"/>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0" customHeight="1">
      <c r="A860" s="396"/>
      <c r="B860" s="396"/>
      <c r="C860" s="396"/>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0" customHeight="1">
      <c r="A861" s="396"/>
      <c r="B861" s="396"/>
      <c r="C861" s="396"/>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0" customHeight="1">
      <c r="A862" s="396"/>
      <c r="B862" s="396"/>
      <c r="C862" s="396"/>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0" customHeight="1">
      <c r="A863" s="396"/>
      <c r="B863" s="396"/>
      <c r="C863" s="396"/>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0" customHeight="1">
      <c r="A864" s="396"/>
      <c r="B864" s="396"/>
      <c r="C864" s="396"/>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0" customHeight="1">
      <c r="A865" s="396"/>
      <c r="B865" s="396"/>
      <c r="C865" s="396"/>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0" customHeight="1">
      <c r="A866" s="396"/>
      <c r="B866" s="396"/>
      <c r="C866" s="396"/>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0" customHeight="1">
      <c r="A867" s="396"/>
      <c r="B867" s="396"/>
      <c r="C867" s="396"/>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0" customHeight="1">
      <c r="A868" s="396"/>
      <c r="B868" s="396"/>
      <c r="C868" s="396"/>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0" customHeight="1">
      <c r="A869" s="396"/>
      <c r="B869" s="396"/>
      <c r="C869" s="396"/>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0" customHeight="1">
      <c r="A870" s="396"/>
      <c r="B870" s="396"/>
      <c r="C870" s="396"/>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0" customHeight="1">
      <c r="A871" s="396"/>
      <c r="B871" s="396"/>
      <c r="C871" s="396"/>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0" customHeight="1">
      <c r="A872" s="396"/>
      <c r="B872" s="396"/>
      <c r="C872" s="396"/>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0" customHeight="1">
      <c r="A873" s="396"/>
      <c r="B873" s="396"/>
      <c r="C873" s="396"/>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0" customHeight="1">
      <c r="A874" s="396"/>
      <c r="B874" s="396"/>
      <c r="C874" s="396"/>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0" customHeight="1">
      <c r="A875" s="396"/>
      <c r="B875" s="396"/>
      <c r="C875" s="396"/>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0" customHeight="1">
      <c r="A876" s="396"/>
      <c r="B876" s="396"/>
      <c r="C876" s="396"/>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0" customHeight="1">
      <c r="A877" s="396"/>
      <c r="B877" s="396"/>
      <c r="C877" s="396"/>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0" customHeight="1">
      <c r="A878" s="396"/>
      <c r="B878" s="396"/>
      <c r="C878" s="396"/>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0" customHeight="1">
      <c r="A879" s="396"/>
      <c r="B879" s="396"/>
      <c r="C879" s="396"/>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0" customHeight="1">
      <c r="A880" s="396"/>
      <c r="B880" s="396"/>
      <c r="C880" s="396"/>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0" customHeight="1">
      <c r="A881" s="396"/>
      <c r="B881" s="396"/>
      <c r="C881" s="396"/>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0" customHeight="1">
      <c r="A882" s="396"/>
      <c r="B882" s="396"/>
      <c r="C882" s="396"/>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0" customHeight="1">
      <c r="A883" s="396"/>
      <c r="B883" s="396"/>
      <c r="C883" s="396"/>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0" customHeight="1">
      <c r="A884" s="396"/>
      <c r="B884" s="396"/>
      <c r="C884" s="396"/>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0" customHeight="1">
      <c r="A885" s="396"/>
      <c r="B885" s="396"/>
      <c r="C885" s="396"/>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0" customHeight="1">
      <c r="A886" s="396"/>
      <c r="B886" s="396"/>
      <c r="C886" s="396"/>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0" customHeight="1">
      <c r="A887" s="396"/>
      <c r="B887" s="396"/>
      <c r="C887" s="396"/>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0" customHeight="1">
      <c r="A888" s="396"/>
      <c r="B888" s="396"/>
      <c r="C888" s="396"/>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0" customHeight="1">
      <c r="A889" s="396"/>
      <c r="B889" s="396"/>
      <c r="C889" s="396"/>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0" customHeight="1">
      <c r="A890" s="396"/>
      <c r="B890" s="396"/>
      <c r="C890" s="396"/>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0" customHeight="1">
      <c r="A891" s="396"/>
      <c r="B891" s="396"/>
      <c r="C891" s="396"/>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0" customHeight="1">
      <c r="A892" s="396"/>
      <c r="B892" s="396"/>
      <c r="C892" s="396"/>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0" customHeight="1">
      <c r="A893" s="396"/>
      <c r="B893" s="396"/>
      <c r="C893" s="396"/>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0" customHeight="1">
      <c r="A894" s="396"/>
      <c r="B894" s="396"/>
      <c r="C894" s="396"/>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0" customHeight="1">
      <c r="A895" s="396"/>
      <c r="B895" s="396"/>
      <c r="C895" s="396"/>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0" customHeight="1">
      <c r="A896" s="396"/>
      <c r="B896" s="396"/>
      <c r="C896" s="396"/>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0" customHeight="1">
      <c r="A897" s="396"/>
      <c r="B897" s="396"/>
      <c r="C897" s="396"/>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0" customHeight="1">
      <c r="A898" s="396"/>
      <c r="B898" s="396"/>
      <c r="C898" s="396"/>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0" customHeight="1">
      <c r="A899" s="396"/>
      <c r="B899" s="396"/>
      <c r="C899" s="396"/>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0" customHeight="1">
      <c r="A900" s="396"/>
      <c r="B900" s="396"/>
      <c r="C900" s="396"/>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0" customHeight="1">
      <c r="A901" s="396"/>
      <c r="B901" s="396"/>
      <c r="C901" s="396"/>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0" customHeight="1">
      <c r="A902" s="396"/>
      <c r="B902" s="396"/>
      <c r="C902" s="396"/>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0" customHeight="1">
      <c r="A903" s="396"/>
      <c r="B903" s="396"/>
      <c r="C903" s="396"/>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0" customHeight="1">
      <c r="A904" s="396"/>
      <c r="B904" s="396"/>
      <c r="C904" s="396"/>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0" customHeight="1">
      <c r="A905" s="396"/>
      <c r="B905" s="396"/>
      <c r="C905" s="396"/>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0" customHeight="1">
      <c r="A906" s="396"/>
      <c r="B906" s="396"/>
      <c r="C906" s="396"/>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0" customHeight="1">
      <c r="A907" s="396"/>
      <c r="B907" s="396"/>
      <c r="C907" s="396"/>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0" customHeight="1">
      <c r="A908" s="396"/>
      <c r="B908" s="396"/>
      <c r="C908" s="396"/>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0" customHeight="1">
      <c r="A909" s="396"/>
      <c r="B909" s="396"/>
      <c r="C909" s="396"/>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0" customHeight="1">
      <c r="A910" s="396"/>
      <c r="B910" s="396"/>
      <c r="C910" s="396"/>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0" customHeight="1">
      <c r="A911" s="396"/>
      <c r="B911" s="396"/>
      <c r="C911" s="396"/>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0" customHeight="1">
      <c r="A912" s="396"/>
      <c r="B912" s="396"/>
      <c r="C912" s="396"/>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0" customHeight="1">
      <c r="A913" s="396"/>
      <c r="B913" s="396"/>
      <c r="C913" s="396"/>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0" customHeight="1">
      <c r="A914" s="396"/>
      <c r="B914" s="396"/>
      <c r="C914" s="396"/>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0" customHeight="1">
      <c r="A915" s="396"/>
      <c r="B915" s="396"/>
      <c r="C915" s="396"/>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0" customHeight="1">
      <c r="A916" s="396"/>
      <c r="B916" s="396"/>
      <c r="C916" s="396"/>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0" customHeight="1">
      <c r="A917" s="396"/>
      <c r="B917" s="396"/>
      <c r="C917" s="396"/>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0" customHeight="1">
      <c r="A918" s="396"/>
      <c r="B918" s="396"/>
      <c r="C918" s="396"/>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0" customHeight="1">
      <c r="A919" s="396"/>
      <c r="B919" s="396"/>
      <c r="C919" s="396"/>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0" customHeight="1">
      <c r="A920" s="396"/>
      <c r="B920" s="396"/>
      <c r="C920" s="396"/>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0" customHeight="1">
      <c r="A921" s="396"/>
      <c r="B921" s="396"/>
      <c r="C921" s="396"/>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0" customHeight="1">
      <c r="A922" s="396"/>
      <c r="B922" s="396"/>
      <c r="C922" s="396"/>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0" customHeight="1">
      <c r="A923" s="396"/>
      <c r="B923" s="396"/>
      <c r="C923" s="396"/>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0" customHeight="1">
      <c r="A924" s="396"/>
      <c r="B924" s="396"/>
      <c r="C924" s="396"/>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0" customHeight="1">
      <c r="A925" s="396"/>
      <c r="B925" s="396"/>
      <c r="C925" s="396"/>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0" customHeight="1">
      <c r="A926" s="396"/>
      <c r="B926" s="396"/>
      <c r="C926" s="396"/>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0" customHeight="1">
      <c r="A927" s="396"/>
      <c r="B927" s="396"/>
      <c r="C927" s="396"/>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0" customHeight="1">
      <c r="A928" s="396"/>
      <c r="B928" s="396"/>
      <c r="C928" s="396"/>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0" customHeight="1">
      <c r="A929" s="396"/>
      <c r="B929" s="396"/>
      <c r="C929" s="396"/>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0" customHeight="1">
      <c r="A930" s="396"/>
      <c r="B930" s="396"/>
      <c r="C930" s="396"/>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0" customHeight="1">
      <c r="A931" s="396"/>
      <c r="B931" s="396"/>
      <c r="C931" s="396"/>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0" customHeight="1">
      <c r="A932" s="396"/>
      <c r="B932" s="396"/>
      <c r="C932" s="396"/>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0" customHeight="1">
      <c r="A933" s="396"/>
      <c r="B933" s="396"/>
      <c r="C933" s="396"/>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0" customHeight="1">
      <c r="A934" s="396"/>
      <c r="B934" s="396"/>
      <c r="C934" s="396"/>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0" customHeight="1">
      <c r="A935" s="396"/>
      <c r="B935" s="396"/>
      <c r="C935" s="396"/>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0" customHeight="1">
      <c r="A936" s="396"/>
      <c r="B936" s="396"/>
      <c r="C936" s="396"/>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0" customHeight="1">
      <c r="A937" s="396"/>
      <c r="B937" s="396"/>
      <c r="C937" s="396"/>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0" customHeight="1">
      <c r="A938" s="396"/>
      <c r="B938" s="396"/>
      <c r="C938" s="396"/>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0" customHeight="1">
      <c r="A939" s="396"/>
      <c r="B939" s="396"/>
      <c r="C939" s="396"/>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0" customHeight="1">
      <c r="A940" s="396"/>
      <c r="B940" s="396"/>
      <c r="C940" s="396"/>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0" customHeight="1">
      <c r="A941" s="396"/>
      <c r="B941" s="396"/>
      <c r="C941" s="396"/>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0" customHeight="1">
      <c r="A942" s="396"/>
      <c r="B942" s="396"/>
      <c r="C942" s="396"/>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0" customHeight="1">
      <c r="A943" s="396"/>
      <c r="B943" s="396"/>
      <c r="C943" s="396"/>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0" customHeight="1">
      <c r="A944" s="396"/>
      <c r="B944" s="396"/>
      <c r="C944" s="396"/>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0" customHeight="1">
      <c r="A945" s="396"/>
      <c r="B945" s="396"/>
      <c r="C945" s="396"/>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0" customHeight="1">
      <c r="A946" s="396"/>
      <c r="B946" s="396"/>
      <c r="C946" s="396"/>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0" customHeight="1">
      <c r="A947" s="396"/>
      <c r="B947" s="396"/>
      <c r="C947" s="396"/>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0" customHeight="1">
      <c r="A948" s="396"/>
      <c r="B948" s="396"/>
      <c r="C948" s="396"/>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0" customHeight="1">
      <c r="A949" s="396"/>
      <c r="B949" s="396"/>
      <c r="C949" s="396"/>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0" customHeight="1">
      <c r="A950" s="396"/>
      <c r="B950" s="396"/>
      <c r="C950" s="396"/>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0" customHeight="1">
      <c r="A951" s="396"/>
      <c r="B951" s="396"/>
      <c r="C951" s="396"/>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0" customHeight="1">
      <c r="A952" s="396"/>
      <c r="B952" s="396"/>
      <c r="C952" s="396"/>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0" customHeight="1">
      <c r="A953" s="396"/>
      <c r="B953" s="396"/>
      <c r="C953" s="396"/>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0" customHeight="1">
      <c r="A954" s="396"/>
      <c r="B954" s="396"/>
      <c r="C954" s="396"/>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0" customHeight="1">
      <c r="A955" s="396"/>
      <c r="B955" s="396"/>
      <c r="C955" s="396"/>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0" customHeight="1">
      <c r="A956" s="396"/>
      <c r="B956" s="396"/>
      <c r="C956" s="396"/>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0" customHeight="1">
      <c r="A957" s="396"/>
      <c r="B957" s="396"/>
      <c r="C957" s="396"/>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0" customHeight="1">
      <c r="A958" s="396"/>
      <c r="B958" s="396"/>
      <c r="C958" s="396"/>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0" customHeight="1">
      <c r="A959" s="396"/>
      <c r="B959" s="396"/>
      <c r="C959" s="396"/>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0" customHeight="1">
      <c r="A960" s="396"/>
      <c r="B960" s="396"/>
      <c r="C960" s="396"/>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0" customHeight="1">
      <c r="A961" s="396"/>
      <c r="B961" s="396"/>
      <c r="C961" s="396"/>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0" customHeight="1">
      <c r="A962" s="396"/>
      <c r="B962" s="396"/>
      <c r="C962" s="396"/>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0" customHeight="1">
      <c r="A963" s="396"/>
      <c r="B963" s="396"/>
      <c r="C963" s="396"/>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0" customHeight="1">
      <c r="A964" s="396"/>
      <c r="B964" s="396"/>
      <c r="C964" s="396"/>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0" customHeight="1">
      <c r="A965" s="396"/>
      <c r="B965" s="396"/>
      <c r="C965" s="396"/>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0" customHeight="1">
      <c r="A966" s="396"/>
      <c r="B966" s="396"/>
      <c r="C966" s="396"/>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0" customHeight="1">
      <c r="A967" s="396"/>
      <c r="B967" s="396"/>
      <c r="C967" s="396"/>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0" customHeight="1">
      <c r="A968" s="396"/>
      <c r="B968" s="396"/>
      <c r="C968" s="396"/>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0" customHeight="1">
      <c r="A969" s="396"/>
      <c r="B969" s="396"/>
      <c r="C969" s="396"/>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0" customHeight="1">
      <c r="A970" s="396"/>
      <c r="B970" s="396"/>
      <c r="C970" s="396"/>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0" customHeight="1">
      <c r="A971" s="396"/>
      <c r="B971" s="396"/>
      <c r="C971" s="396"/>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0" customHeight="1">
      <c r="A972" s="396"/>
      <c r="B972" s="396"/>
      <c r="C972" s="396"/>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0" customHeight="1">
      <c r="A973" s="396"/>
      <c r="B973" s="396"/>
      <c r="C973" s="396"/>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0" customHeight="1">
      <c r="A974" s="396"/>
      <c r="B974" s="396"/>
      <c r="C974" s="396"/>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0" customHeight="1">
      <c r="A975" s="396"/>
      <c r="B975" s="396"/>
      <c r="C975" s="396"/>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0" customHeight="1">
      <c r="A976" s="396"/>
      <c r="B976" s="396"/>
      <c r="C976" s="396"/>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0" customHeight="1">
      <c r="A977" s="396"/>
      <c r="B977" s="396"/>
      <c r="C977" s="396"/>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0" customHeight="1">
      <c r="A978" s="396"/>
      <c r="B978" s="396"/>
      <c r="C978" s="396"/>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0" customHeight="1">
      <c r="A979" s="396"/>
      <c r="B979" s="396"/>
      <c r="C979" s="396"/>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0" customHeight="1">
      <c r="A980" s="396"/>
      <c r="B980" s="396"/>
      <c r="C980" s="396"/>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0" customHeight="1">
      <c r="A981" s="396"/>
      <c r="B981" s="396"/>
      <c r="C981" s="396"/>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0" customHeight="1">
      <c r="A982" s="396"/>
      <c r="B982" s="396"/>
      <c r="C982" s="396"/>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0" customHeight="1">
      <c r="A983" s="396"/>
      <c r="B983" s="396"/>
      <c r="C983" s="396"/>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0" customHeight="1">
      <c r="A984" s="396"/>
      <c r="B984" s="396"/>
      <c r="C984" s="396"/>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0" customHeight="1">
      <c r="A985" s="396"/>
      <c r="B985" s="396"/>
      <c r="C985" s="396"/>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0" customHeight="1">
      <c r="A986" s="396"/>
      <c r="B986" s="396"/>
      <c r="C986" s="396"/>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0" customHeight="1">
      <c r="A987" s="396"/>
      <c r="B987" s="396"/>
      <c r="C987" s="396"/>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0" customHeight="1">
      <c r="A988" s="396"/>
      <c r="B988" s="396"/>
      <c r="C988" s="396"/>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0" customHeight="1">
      <c r="A989" s="396"/>
      <c r="B989" s="396"/>
      <c r="C989" s="396"/>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0" customHeight="1">
      <c r="A990" s="396"/>
      <c r="B990" s="396"/>
      <c r="C990" s="396"/>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0" customHeight="1">
      <c r="A991" s="396"/>
      <c r="B991" s="396"/>
      <c r="C991" s="396"/>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0" customHeight="1">
      <c r="A992" s="396"/>
      <c r="B992" s="396"/>
      <c r="C992" s="396"/>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0" customHeight="1">
      <c r="A993" s="396"/>
      <c r="B993" s="396"/>
      <c r="C993" s="396"/>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0" customHeight="1">
      <c r="A994" s="396"/>
      <c r="B994" s="396"/>
      <c r="C994" s="396"/>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0" customHeight="1">
      <c r="A995" s="396"/>
      <c r="B995" s="396"/>
      <c r="C995" s="396"/>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0" customHeight="1">
      <c r="A996" s="396"/>
      <c r="B996" s="396"/>
      <c r="C996" s="396"/>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0" customHeight="1">
      <c r="A997" s="396"/>
      <c r="B997" s="396"/>
      <c r="C997" s="396"/>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0" customHeight="1">
      <c r="A998" s="396"/>
      <c r="B998" s="396"/>
      <c r="C998" s="396"/>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0" customHeight="1">
      <c r="A999" s="396"/>
      <c r="B999" s="396"/>
      <c r="C999" s="396"/>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0" customHeight="1">
      <c r="A1000" s="396"/>
      <c r="B1000" s="396"/>
      <c r="C1000" s="396"/>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6"/>
      <c r="B1" s="427" t="s">
        <v>73</v>
      </c>
      <c r="C1" s="427" t="s">
        <v>73</v>
      </c>
      <c r="D1" s="396"/>
      <c r="E1" s="396"/>
      <c r="F1" s="396"/>
      <c r="G1" s="396"/>
      <c r="H1" s="396"/>
      <c r="I1" s="396"/>
      <c r="J1" s="396"/>
      <c r="K1" s="396"/>
      <c r="L1" s="428" t="s">
        <v>649</v>
      </c>
      <c r="M1" s="428" t="s">
        <v>650</v>
      </c>
      <c r="N1" s="428" t="s">
        <v>651</v>
      </c>
      <c r="O1" s="428" t="s">
        <v>652</v>
      </c>
      <c r="P1" s="428" t="s">
        <v>653</v>
      </c>
      <c r="Q1" s="396"/>
      <c r="R1" s="396"/>
      <c r="S1" s="396"/>
      <c r="T1" s="396"/>
      <c r="U1" s="396"/>
      <c r="V1" s="396"/>
      <c r="W1" s="396"/>
      <c r="X1" s="396"/>
      <c r="Y1" s="396"/>
      <c r="Z1" s="396"/>
    </row>
    <row r="2" ht="15.0" customHeight="1">
      <c r="A2" s="396"/>
      <c r="B2" s="427"/>
      <c r="C2" s="427"/>
      <c r="D2" s="396"/>
      <c r="E2" s="396"/>
      <c r="F2" s="396"/>
      <c r="G2" s="396"/>
      <c r="H2" s="396"/>
      <c r="I2" s="396"/>
      <c r="J2" s="396"/>
      <c r="K2" s="396"/>
      <c r="L2" s="396"/>
      <c r="M2" s="428" t="s">
        <v>654</v>
      </c>
      <c r="N2" s="396"/>
      <c r="O2" s="396"/>
      <c r="P2" s="428" t="s">
        <v>655</v>
      </c>
      <c r="Q2" s="396"/>
      <c r="R2" s="396"/>
      <c r="S2" s="396"/>
      <c r="T2" s="396"/>
      <c r="U2" s="396"/>
      <c r="V2" s="396"/>
      <c r="W2" s="396"/>
      <c r="X2" s="396"/>
      <c r="Y2" s="396"/>
      <c r="Z2" s="396"/>
    </row>
    <row r="3" ht="12.0" customHeight="1">
      <c r="A3" s="396"/>
      <c r="B3" s="427">
        <v>0.0</v>
      </c>
      <c r="C3" s="427">
        <v>1.0</v>
      </c>
      <c r="D3" s="396"/>
      <c r="E3" s="396"/>
      <c r="F3" s="429">
        <v>0.0</v>
      </c>
      <c r="G3" s="429">
        <v>0.0</v>
      </c>
      <c r="H3" s="396"/>
      <c r="I3" s="396"/>
      <c r="J3" s="396"/>
      <c r="K3" s="396"/>
      <c r="L3" s="427">
        <f>0</f>
        <v>0</v>
      </c>
      <c r="M3" s="430">
        <f>COS('Calcoli componente'!$S$26*Dati!$L3*3600)</f>
        <v>1</v>
      </c>
      <c r="N3" s="430" t="str">
        <f>'Calcoli componente'!$L$40*COS('Calcoli componente'!$S$26*(Dati!$L3+'Calcoli componente'!$K$37)*3600)</f>
        <v>#DIV/0!</v>
      </c>
      <c r="O3" s="430" t="str">
        <f>'Calcoli componente'!$L$47*COS('Calcoli componente'!$S$26*(Dati!$L3+'Calcoli componente'!$K$44)*3600)</f>
        <v>#DIV/0!</v>
      </c>
      <c r="P3" s="430" t="str">
        <f>'Calcoli componente'!$L$33*COS('Calcoli componente'!$S$26*(Dati!$L3+'Calcoli componente'!$K$30)*3600)</f>
        <v>#DIV/0!</v>
      </c>
      <c r="Q3" s="396"/>
      <c r="R3" s="396"/>
      <c r="S3" s="396"/>
      <c r="T3" s="396"/>
      <c r="U3" s="396"/>
      <c r="V3" s="396"/>
      <c r="W3" s="396"/>
      <c r="X3" s="396"/>
      <c r="Y3" s="396"/>
      <c r="Z3" s="396"/>
    </row>
    <row r="4" ht="12.0" customHeight="1">
      <c r="A4" s="396"/>
      <c r="B4" s="427">
        <v>0.0</v>
      </c>
      <c r="C4" s="427">
        <v>0.0</v>
      </c>
      <c r="D4" s="396"/>
      <c r="E4" s="396" t="s">
        <v>656</v>
      </c>
      <c r="F4" s="429">
        <f>'Calcoli componente'!L26</f>
        <v>1.318242344</v>
      </c>
      <c r="G4" s="429">
        <v>0.0</v>
      </c>
      <c r="H4" s="396"/>
      <c r="I4" s="396"/>
      <c r="J4" s="396"/>
      <c r="K4" s="396"/>
      <c r="L4" s="427">
        <f>L3+'Calcoli componente'!$R$26/24</f>
        <v>1</v>
      </c>
      <c r="M4" s="430">
        <f>COS('Calcoli componente'!$S$26*Dati!$L4*3600)</f>
        <v>0.9659258263</v>
      </c>
      <c r="N4" s="430" t="str">
        <f>'Calcoli componente'!$L$40*COS('Calcoli componente'!$S$26*(Dati!$L4+'Calcoli componente'!$K$37)*3600)</f>
        <v>#DIV/0!</v>
      </c>
      <c r="O4" s="430" t="str">
        <f>'Calcoli componente'!$L$47*COS('Calcoli componente'!$S$26*(Dati!$L4+'Calcoli componente'!$K$44)*3600)</f>
        <v>#DIV/0!</v>
      </c>
      <c r="P4" s="430" t="str">
        <f>'Calcoli componente'!$L$33*COS('Calcoli componente'!$S$26*(Dati!$L4+'Calcoli componente'!$K$30)*3600)</f>
        <v>#DIV/0!</v>
      </c>
      <c r="Q4" s="396"/>
      <c r="R4" s="396"/>
      <c r="S4" s="396"/>
      <c r="T4" s="396"/>
      <c r="U4" s="396"/>
      <c r="V4" s="396"/>
      <c r="W4" s="396"/>
      <c r="X4" s="396"/>
      <c r="Y4" s="396"/>
      <c r="Z4" s="396"/>
    </row>
    <row r="5" ht="12.0" customHeight="1">
      <c r="A5" s="396"/>
      <c r="B5" s="427">
        <f>B4+'Caratteristiche componente'!$D7</f>
        <v>1</v>
      </c>
      <c r="C5" s="427">
        <f>C4+'Caratteristiche componente'!$D7</f>
        <v>1</v>
      </c>
      <c r="D5" s="396"/>
      <c r="E5" s="396"/>
      <c r="F5" s="396"/>
      <c r="G5" s="396"/>
      <c r="H5" s="396"/>
      <c r="I5" s="396"/>
      <c r="J5" s="396"/>
      <c r="K5" s="396"/>
      <c r="L5" s="427">
        <f>L4+'Calcoli componente'!$R$26/24</f>
        <v>2</v>
      </c>
      <c r="M5" s="430">
        <f>COS('Calcoli componente'!$S$26*Dati!$L5*3600)</f>
        <v>0.8660254038</v>
      </c>
      <c r="N5" s="430" t="str">
        <f>'Calcoli componente'!$L$40*COS('Calcoli componente'!$S$26*(Dati!$L5+'Calcoli componente'!$K$37)*3600)</f>
        <v>#DIV/0!</v>
      </c>
      <c r="O5" s="430" t="str">
        <f>'Calcoli componente'!$L$47*COS('Calcoli componente'!$S$26*(Dati!$L5+'Calcoli componente'!$K$44)*3600)</f>
        <v>#DIV/0!</v>
      </c>
      <c r="P5" s="430" t="str">
        <f>'Calcoli componente'!$L$33*COS('Calcoli componente'!$S$26*(Dati!$L5+'Calcoli componente'!$K$30)*3600)</f>
        <v>#DIV/0!</v>
      </c>
      <c r="Q5" s="396"/>
      <c r="R5" s="396"/>
      <c r="S5" s="396"/>
      <c r="T5" s="396"/>
      <c r="U5" s="396"/>
      <c r="V5" s="396"/>
      <c r="W5" s="396"/>
      <c r="X5" s="396"/>
      <c r="Y5" s="396"/>
      <c r="Z5" s="396"/>
    </row>
    <row r="6" ht="12.0" customHeight="1">
      <c r="A6" s="396"/>
      <c r="B6" s="427">
        <f>B5+'Caratteristiche componente'!$D8</f>
        <v>7</v>
      </c>
      <c r="C6" s="427">
        <f>C5+'Caratteristiche componente'!$D8</f>
        <v>7</v>
      </c>
      <c r="D6" s="396"/>
      <c r="E6" s="396"/>
      <c r="F6" s="429">
        <v>0.0</v>
      </c>
      <c r="G6" s="429">
        <v>0.0</v>
      </c>
      <c r="H6" s="396"/>
      <c r="I6" s="396"/>
      <c r="J6" s="396"/>
      <c r="K6" s="396"/>
      <c r="L6" s="427">
        <f>L5+'Calcoli componente'!$R$26/24</f>
        <v>3</v>
      </c>
      <c r="M6" s="430">
        <f>COS('Calcoli componente'!$S$26*Dati!$L6*3600)</f>
        <v>0.7071067812</v>
      </c>
      <c r="N6" s="430" t="str">
        <f>'Calcoli componente'!$L$40*COS('Calcoli componente'!$S$26*(Dati!$L6+'Calcoli componente'!$K$37)*3600)</f>
        <v>#DIV/0!</v>
      </c>
      <c r="O6" s="430" t="str">
        <f>'Calcoli componente'!$L$47*COS('Calcoli componente'!$S$26*(Dati!$L6+'Calcoli componente'!$K$44)*3600)</f>
        <v>#DIV/0!</v>
      </c>
      <c r="P6" s="430" t="str">
        <f>'Calcoli componente'!$L$33*COS('Calcoli componente'!$S$26*(Dati!$L6+'Calcoli componente'!$K$30)*3600)</f>
        <v>#DIV/0!</v>
      </c>
      <c r="Q6" s="396"/>
      <c r="R6" s="396"/>
      <c r="S6" s="396"/>
      <c r="T6" s="396"/>
      <c r="U6" s="396"/>
      <c r="V6" s="396"/>
      <c r="W6" s="396"/>
      <c r="X6" s="396"/>
      <c r="Y6" s="396"/>
      <c r="Z6" s="396"/>
    </row>
    <row r="7" ht="12.0" customHeight="1">
      <c r="A7" s="396"/>
      <c r="B7" s="427">
        <f>B6+'Caratteristiche componente'!$D9</f>
        <v>33</v>
      </c>
      <c r="C7" s="427">
        <f>C6+'Caratteristiche componente'!$D9</f>
        <v>33</v>
      </c>
      <c r="D7" s="396"/>
      <c r="E7" s="396" t="s">
        <v>657</v>
      </c>
      <c r="F7" s="429" t="str">
        <f>'Calcoli componente'!$AR$28</f>
        <v>#DIV/0!</v>
      </c>
      <c r="G7" s="429" t="str">
        <f>'Calcoli componente'!$AS$28</f>
        <v>#DIV/0!</v>
      </c>
      <c r="H7" s="396"/>
      <c r="I7" s="396"/>
      <c r="J7" s="396"/>
      <c r="K7" s="396"/>
      <c r="L7" s="427">
        <f>L6+'Calcoli componente'!$R$26/24</f>
        <v>4</v>
      </c>
      <c r="M7" s="430">
        <f>COS('Calcoli componente'!$S$26*Dati!$L7*3600)</f>
        <v>0.5</v>
      </c>
      <c r="N7" s="430" t="str">
        <f>'Calcoli componente'!$L$40*COS('Calcoli componente'!$S$26*(Dati!$L7+'Calcoli componente'!$K$37)*3600)</f>
        <v>#DIV/0!</v>
      </c>
      <c r="O7" s="430" t="str">
        <f>'Calcoli componente'!$L$47*COS('Calcoli componente'!$S$26*(Dati!$L7+'Calcoli componente'!$K$44)*3600)</f>
        <v>#DIV/0!</v>
      </c>
      <c r="P7" s="430" t="str">
        <f>'Calcoli componente'!$L$33*COS('Calcoli componente'!$S$26*(Dati!$L7+'Calcoli componente'!$K$30)*3600)</f>
        <v>#DIV/0!</v>
      </c>
      <c r="Q7" s="396"/>
      <c r="R7" s="396"/>
      <c r="S7" s="396"/>
      <c r="T7" s="396"/>
      <c r="U7" s="396"/>
      <c r="V7" s="396"/>
      <c r="W7" s="396"/>
      <c r="X7" s="396"/>
      <c r="Y7" s="396"/>
      <c r="Z7" s="396"/>
    </row>
    <row r="8" ht="12.0" customHeight="1">
      <c r="A8" s="396"/>
      <c r="B8" s="427">
        <f>B7+'Caratteristiche componente'!$D10</f>
        <v>35</v>
      </c>
      <c r="C8" s="427">
        <f>C7+'Caratteristiche componente'!$D10</f>
        <v>35</v>
      </c>
      <c r="D8" s="396"/>
      <c r="E8" s="396"/>
      <c r="F8" s="396"/>
      <c r="G8" s="396"/>
      <c r="H8" s="396"/>
      <c r="I8" s="396"/>
      <c r="J8" s="396"/>
      <c r="K8" s="396"/>
      <c r="L8" s="427">
        <f>L7+'Calcoli componente'!$R$26/24</f>
        <v>5</v>
      </c>
      <c r="M8" s="430">
        <f>COS('Calcoli componente'!$S$26*Dati!$L8*3600)</f>
        <v>0.2588190451</v>
      </c>
      <c r="N8" s="430" t="str">
        <f>'Calcoli componente'!$L$40*COS('Calcoli componente'!$S$26*(Dati!$L8+'Calcoli componente'!$K$37)*3600)</f>
        <v>#DIV/0!</v>
      </c>
      <c r="O8" s="430" t="str">
        <f>'Calcoli componente'!$L$47*COS('Calcoli componente'!$S$26*(Dati!$L8+'Calcoli componente'!$K$44)*3600)</f>
        <v>#DIV/0!</v>
      </c>
      <c r="P8" s="430" t="str">
        <f>'Calcoli componente'!$L$33*COS('Calcoli componente'!$S$26*(Dati!$L8+'Calcoli componente'!$K$30)*3600)</f>
        <v>#DIV/0!</v>
      </c>
      <c r="Q8" s="396"/>
      <c r="R8" s="396"/>
      <c r="S8" s="396"/>
      <c r="T8" s="396"/>
      <c r="U8" s="396"/>
      <c r="V8" s="396"/>
      <c r="W8" s="396"/>
      <c r="X8" s="396"/>
      <c r="Y8" s="396"/>
      <c r="Z8" s="396"/>
    </row>
    <row r="9" ht="12.0" customHeight="1">
      <c r="A9" s="396"/>
      <c r="B9" s="427">
        <f>B8+'Caratteristiche componente'!$D11</f>
        <v>35</v>
      </c>
      <c r="C9" s="427">
        <f>C8+'Caratteristiche componente'!$D11</f>
        <v>35</v>
      </c>
      <c r="D9" s="396"/>
      <c r="E9" s="396"/>
      <c r="F9" s="429">
        <v>0.0</v>
      </c>
      <c r="G9" s="429">
        <v>0.0</v>
      </c>
      <c r="H9" s="396"/>
      <c r="I9" s="396"/>
      <c r="J9" s="396"/>
      <c r="K9" s="396"/>
      <c r="L9" s="427">
        <f>L8+'Calcoli componente'!$R$26/24</f>
        <v>6</v>
      </c>
      <c r="M9" s="430">
        <f>COS('Calcoli componente'!$S$26*Dati!$L9*3600)</f>
        <v>0</v>
      </c>
      <c r="N9" s="430" t="str">
        <f>'Calcoli componente'!$L$40*COS('Calcoli componente'!$S$26*(Dati!$L9+'Calcoli componente'!$K$37)*3600)</f>
        <v>#DIV/0!</v>
      </c>
      <c r="O9" s="430" t="str">
        <f>'Calcoli componente'!$L$47*COS('Calcoli componente'!$S$26*(Dati!$L9+'Calcoli componente'!$K$44)*3600)</f>
        <v>#DIV/0!</v>
      </c>
      <c r="P9" s="430" t="str">
        <f>'Calcoli componente'!$L$33*COS('Calcoli componente'!$S$26*(Dati!$L9+'Calcoli componente'!$K$30)*3600)</f>
        <v>#DIV/0!</v>
      </c>
      <c r="Q9" s="396"/>
      <c r="R9" s="396"/>
      <c r="S9" s="396"/>
      <c r="T9" s="396"/>
      <c r="U9" s="396"/>
      <c r="V9" s="396"/>
      <c r="W9" s="396"/>
      <c r="X9" s="396"/>
      <c r="Y9" s="396"/>
      <c r="Z9" s="396"/>
    </row>
    <row r="10" ht="12.0" customHeight="1">
      <c r="A10" s="396"/>
      <c r="B10" s="427">
        <f>B9+'Caratteristiche componente'!$D12</f>
        <v>35</v>
      </c>
      <c r="C10" s="427">
        <f>C9+'Caratteristiche componente'!$D12</f>
        <v>35</v>
      </c>
      <c r="D10" s="396"/>
      <c r="E10" s="396" t="s">
        <v>658</v>
      </c>
      <c r="F10" s="429" t="str">
        <f>'Calcoli componente'!$AW$28</f>
        <v>#DIV/0!</v>
      </c>
      <c r="G10" s="429" t="str">
        <f>'Calcoli componente'!$AX$28</f>
        <v>#DIV/0!</v>
      </c>
      <c r="H10" s="396"/>
      <c r="I10" s="396"/>
      <c r="J10" s="396"/>
      <c r="K10" s="396"/>
      <c r="L10" s="427">
        <f>L9+'Calcoli componente'!$R$26/24</f>
        <v>7</v>
      </c>
      <c r="M10" s="430">
        <f>COS('Calcoli componente'!$S$26*Dati!$L10*3600)</f>
        <v>-0.2588190451</v>
      </c>
      <c r="N10" s="430" t="str">
        <f>'Calcoli componente'!$L$40*COS('Calcoli componente'!$S$26*(Dati!$L10+'Calcoli componente'!$K$37)*3600)</f>
        <v>#DIV/0!</v>
      </c>
      <c r="O10" s="430" t="str">
        <f>'Calcoli componente'!$L$47*COS('Calcoli componente'!$S$26*(Dati!$L10+'Calcoli componente'!$K$44)*3600)</f>
        <v>#DIV/0!</v>
      </c>
      <c r="P10" s="430" t="str">
        <f>'Calcoli componente'!$L$33*COS('Calcoli componente'!$S$26*(Dati!$L10+'Calcoli componente'!$K$30)*3600)</f>
        <v>#DIV/0!</v>
      </c>
      <c r="Q10" s="396"/>
      <c r="R10" s="396"/>
      <c r="S10" s="396"/>
      <c r="T10" s="396"/>
      <c r="U10" s="396"/>
      <c r="V10" s="396"/>
      <c r="W10" s="396"/>
      <c r="X10" s="396"/>
      <c r="Y10" s="396"/>
      <c r="Z10" s="396"/>
    </row>
    <row r="11" ht="12.0" customHeight="1">
      <c r="A11" s="396"/>
      <c r="B11" s="427">
        <f>B10+'Caratteristiche componente'!$D13</f>
        <v>35</v>
      </c>
      <c r="C11" s="427">
        <f>C10+'Caratteristiche componente'!$D13</f>
        <v>35</v>
      </c>
      <c r="D11" s="396"/>
      <c r="E11" s="396"/>
      <c r="F11" s="396"/>
      <c r="G11" s="396"/>
      <c r="H11" s="396"/>
      <c r="I11" s="396"/>
      <c r="J11" s="396"/>
      <c r="K11" s="396"/>
      <c r="L11" s="427">
        <f>L10+'Calcoli componente'!$R$26/24</f>
        <v>8</v>
      </c>
      <c r="M11" s="430">
        <f>COS('Calcoli componente'!$S$26*Dati!$L11*3600)</f>
        <v>-0.5</v>
      </c>
      <c r="N11" s="430" t="str">
        <f>'Calcoli componente'!$L$40*COS('Calcoli componente'!$S$26*(Dati!$L11+'Calcoli componente'!$K$37)*3600)</f>
        <v>#DIV/0!</v>
      </c>
      <c r="O11" s="430" t="str">
        <f>'Calcoli componente'!$L$47*COS('Calcoli componente'!$S$26*(Dati!$L11+'Calcoli componente'!$K$44)*3600)</f>
        <v>#DIV/0!</v>
      </c>
      <c r="P11" s="430" t="str">
        <f>'Calcoli componente'!$L$33*COS('Calcoli componente'!$S$26*(Dati!$L11+'Calcoli componente'!$K$30)*3600)</f>
        <v>#DIV/0!</v>
      </c>
      <c r="Q11" s="396"/>
      <c r="R11" s="396"/>
      <c r="S11" s="396"/>
      <c r="T11" s="396"/>
      <c r="U11" s="396"/>
      <c r="V11" s="396"/>
      <c r="W11" s="396"/>
      <c r="X11" s="396"/>
      <c r="Y11" s="396"/>
      <c r="Z11" s="396"/>
    </row>
    <row r="12" ht="12.0" customHeight="1">
      <c r="A12" s="396"/>
      <c r="B12" s="427">
        <f>B11+'Caratteristiche componente'!$D14</f>
        <v>35</v>
      </c>
      <c r="C12" s="427">
        <f>C11+'Caratteristiche componente'!$D14</f>
        <v>35</v>
      </c>
      <c r="D12" s="396"/>
      <c r="E12" s="396"/>
      <c r="F12" s="429">
        <v>0.0</v>
      </c>
      <c r="G12" s="429">
        <v>-0.02</v>
      </c>
      <c r="H12" s="396"/>
      <c r="I12" s="396"/>
      <c r="J12" s="396"/>
      <c r="K12" s="396"/>
      <c r="L12" s="427">
        <f>L11+'Calcoli componente'!$R$26/24</f>
        <v>9</v>
      </c>
      <c r="M12" s="430">
        <f>COS('Calcoli componente'!$S$26*Dati!$L12*3600)</f>
        <v>-0.7071067812</v>
      </c>
      <c r="N12" s="430" t="str">
        <f>'Calcoli componente'!$L$40*COS('Calcoli componente'!$S$26*(Dati!$L12+'Calcoli componente'!$K$37)*3600)</f>
        <v>#DIV/0!</v>
      </c>
      <c r="O12" s="430" t="str">
        <f>'Calcoli componente'!$L$47*COS('Calcoli componente'!$S$26*(Dati!$L12+'Calcoli componente'!$K$44)*3600)</f>
        <v>#DIV/0!</v>
      </c>
      <c r="P12" s="430" t="str">
        <f>'Calcoli componente'!$L$33*COS('Calcoli componente'!$S$26*(Dati!$L12+'Calcoli componente'!$K$30)*3600)</f>
        <v>#DIV/0!</v>
      </c>
      <c r="Q12" s="396"/>
      <c r="R12" s="396"/>
      <c r="S12" s="396"/>
      <c r="T12" s="396"/>
      <c r="U12" s="396"/>
      <c r="V12" s="396"/>
      <c r="W12" s="396"/>
      <c r="X12" s="396"/>
      <c r="Y12" s="396"/>
      <c r="Z12" s="396"/>
    </row>
    <row r="13" ht="12.0" customHeight="1">
      <c r="A13" s="396"/>
      <c r="B13" s="427">
        <f>B12+'Caratteristiche componente'!$D15</f>
        <v>35</v>
      </c>
      <c r="C13" s="427">
        <f>C12+'Caratteristiche componente'!$D15</f>
        <v>35</v>
      </c>
      <c r="D13" s="396"/>
      <c r="E13" s="396" t="s">
        <v>659</v>
      </c>
      <c r="F13" s="429" t="str">
        <f>'Calcoli componente'!$BB$28</f>
        <v>#DIV/0!</v>
      </c>
      <c r="G13" s="429" t="str">
        <f>'Calcoli componente'!$BC$28</f>
        <v>#DIV/0!</v>
      </c>
      <c r="H13" s="396"/>
      <c r="I13" s="396"/>
      <c r="J13" s="396"/>
      <c r="K13" s="396"/>
      <c r="L13" s="427">
        <f>L12+'Calcoli componente'!$R$26/24</f>
        <v>10</v>
      </c>
      <c r="M13" s="430">
        <f>COS('Calcoli componente'!$S$26*Dati!$L13*3600)</f>
        <v>-0.8660254038</v>
      </c>
      <c r="N13" s="430" t="str">
        <f>'Calcoli componente'!$L$40*COS('Calcoli componente'!$S$26*(Dati!$L13+'Calcoli componente'!$K$37)*3600)</f>
        <v>#DIV/0!</v>
      </c>
      <c r="O13" s="430" t="str">
        <f>'Calcoli componente'!$L$47*COS('Calcoli componente'!$S$26*(Dati!$L13+'Calcoli componente'!$K$44)*3600)</f>
        <v>#DIV/0!</v>
      </c>
      <c r="P13" s="430" t="str">
        <f>'Calcoli componente'!$L$33*COS('Calcoli componente'!$S$26*(Dati!$L13+'Calcoli componente'!$K$30)*3600)</f>
        <v>#DIV/0!</v>
      </c>
      <c r="Q13" s="396"/>
      <c r="R13" s="396"/>
      <c r="S13" s="396"/>
      <c r="T13" s="396"/>
      <c r="U13" s="396"/>
      <c r="V13" s="396"/>
      <c r="W13" s="396"/>
      <c r="X13" s="396"/>
      <c r="Y13" s="396"/>
      <c r="Z13" s="396"/>
    </row>
    <row r="14" ht="12.0" customHeight="1">
      <c r="A14" s="396"/>
      <c r="B14" s="427">
        <f>B13+'Caratteristiche componente'!$D16</f>
        <v>35</v>
      </c>
      <c r="C14" s="427">
        <f>C13+'Caratteristiche componente'!$D16</f>
        <v>35</v>
      </c>
      <c r="D14" s="396"/>
      <c r="E14" s="396"/>
      <c r="F14" s="396"/>
      <c r="G14" s="396"/>
      <c r="H14" s="396"/>
      <c r="I14" s="396"/>
      <c r="J14" s="396"/>
      <c r="K14" s="396"/>
      <c r="L14" s="427">
        <f>L13+'Calcoli componente'!$R$26/24</f>
        <v>11</v>
      </c>
      <c r="M14" s="430">
        <f>COS('Calcoli componente'!$S$26*Dati!$L14*3600)</f>
        <v>-0.9659258263</v>
      </c>
      <c r="N14" s="430" t="str">
        <f>'Calcoli componente'!$L$40*COS('Calcoli componente'!$S$26*(Dati!$L14+'Calcoli componente'!$K$37)*3600)</f>
        <v>#DIV/0!</v>
      </c>
      <c r="O14" s="430" t="str">
        <f>'Calcoli componente'!$L$47*COS('Calcoli componente'!$S$26*(Dati!$L14+'Calcoli componente'!$K$44)*3600)</f>
        <v>#DIV/0!</v>
      </c>
      <c r="P14" s="430" t="str">
        <f>'Calcoli componente'!$L$33*COS('Calcoli componente'!$S$26*(Dati!$L14+'Calcoli componente'!$K$30)*3600)</f>
        <v>#DIV/0!</v>
      </c>
      <c r="Q14" s="396"/>
      <c r="R14" s="396"/>
      <c r="S14" s="396"/>
      <c r="T14" s="396"/>
      <c r="U14" s="396"/>
      <c r="V14" s="396"/>
      <c r="W14" s="396"/>
      <c r="X14" s="396"/>
      <c r="Y14" s="396"/>
      <c r="Z14" s="396"/>
    </row>
    <row r="15" ht="12.0" customHeight="1">
      <c r="A15" s="396"/>
      <c r="B15" s="427"/>
      <c r="C15" s="427"/>
      <c r="D15" s="396"/>
      <c r="E15" s="396"/>
      <c r="F15" s="396"/>
      <c r="G15" s="396"/>
      <c r="H15" s="396"/>
      <c r="I15" s="396"/>
      <c r="J15" s="396"/>
      <c r="K15" s="396"/>
      <c r="L15" s="427">
        <f>L14+'Calcoli componente'!$R$26/24</f>
        <v>12</v>
      </c>
      <c r="M15" s="430">
        <f>COS('Calcoli componente'!$S$26*Dati!$L15*3600)</f>
        <v>-1</v>
      </c>
      <c r="N15" s="430" t="str">
        <f>'Calcoli componente'!$L$40*COS('Calcoli componente'!$S$26*(Dati!$L15+'Calcoli componente'!$K$37)*3600)</f>
        <v>#DIV/0!</v>
      </c>
      <c r="O15" s="430" t="str">
        <f>'Calcoli componente'!$L$47*COS('Calcoli componente'!$S$26*(Dati!$L15+'Calcoli componente'!$K$44)*3600)</f>
        <v>#DIV/0!</v>
      </c>
      <c r="P15" s="430" t="str">
        <f>'Calcoli componente'!$L$33*COS('Calcoli componente'!$S$26*(Dati!$L15+'Calcoli componente'!$K$30)*3600)</f>
        <v>#DIV/0!</v>
      </c>
      <c r="Q15" s="396"/>
      <c r="R15" s="396"/>
      <c r="S15" s="396"/>
      <c r="T15" s="396"/>
      <c r="U15" s="396"/>
      <c r="V15" s="396"/>
      <c r="W15" s="396"/>
      <c r="X15" s="396"/>
      <c r="Y15" s="396"/>
      <c r="Z15" s="396"/>
    </row>
    <row r="16" ht="12.0" customHeight="1">
      <c r="A16" s="396"/>
      <c r="B16" s="427"/>
      <c r="C16" s="427"/>
      <c r="D16" s="396"/>
      <c r="E16" s="396"/>
      <c r="F16" s="396"/>
      <c r="G16" s="396"/>
      <c r="H16" s="396"/>
      <c r="I16" s="396"/>
      <c r="J16" s="396"/>
      <c r="K16" s="396"/>
      <c r="L16" s="427">
        <f>L15+'Calcoli componente'!$R$26/24</f>
        <v>13</v>
      </c>
      <c r="M16" s="430">
        <f>COS('Calcoli componente'!$S$26*Dati!$L16*3600)</f>
        <v>-0.9659258263</v>
      </c>
      <c r="N16" s="430" t="str">
        <f>'Calcoli componente'!$L$40*COS('Calcoli componente'!$S$26*(Dati!$L16+'Calcoli componente'!$K$37)*3600)</f>
        <v>#DIV/0!</v>
      </c>
      <c r="O16" s="430" t="str">
        <f>'Calcoli componente'!$L$47*COS('Calcoli componente'!$S$26*(Dati!$L16+'Calcoli componente'!$K$44)*3600)</f>
        <v>#DIV/0!</v>
      </c>
      <c r="P16" s="430" t="str">
        <f>'Calcoli componente'!$L$33*COS('Calcoli componente'!$S$26*(Dati!$L16+'Calcoli componente'!$K$30)*3600)</f>
        <v>#DIV/0!</v>
      </c>
      <c r="Q16" s="396"/>
      <c r="R16" s="396"/>
      <c r="S16" s="396"/>
      <c r="T16" s="396"/>
      <c r="U16" s="396"/>
      <c r="V16" s="396"/>
      <c r="W16" s="396"/>
      <c r="X16" s="396"/>
      <c r="Y16" s="396"/>
      <c r="Z16" s="396"/>
    </row>
    <row r="17" ht="12.0" customHeight="1">
      <c r="A17" s="396"/>
      <c r="B17" s="427"/>
      <c r="C17" s="427"/>
      <c r="D17" s="396"/>
      <c r="E17" s="396"/>
      <c r="F17" s="396"/>
      <c r="G17" s="396"/>
      <c r="H17" s="396"/>
      <c r="I17" s="396"/>
      <c r="J17" s="396"/>
      <c r="K17" s="396"/>
      <c r="L17" s="427">
        <f>L16+'Calcoli componente'!$R$26/24</f>
        <v>14</v>
      </c>
      <c r="M17" s="430">
        <f>COS('Calcoli componente'!$S$26*Dati!$L17*3600)</f>
        <v>-0.8660254038</v>
      </c>
      <c r="N17" s="430" t="str">
        <f>'Calcoli componente'!$L$40*COS('Calcoli componente'!$S$26*(Dati!$L17+'Calcoli componente'!$K$37)*3600)</f>
        <v>#DIV/0!</v>
      </c>
      <c r="O17" s="430" t="str">
        <f>'Calcoli componente'!$L$47*COS('Calcoli componente'!$S$26*(Dati!$L17+'Calcoli componente'!$K$44)*3600)</f>
        <v>#DIV/0!</v>
      </c>
      <c r="P17" s="430" t="str">
        <f>'Calcoli componente'!$L$33*COS('Calcoli componente'!$S$26*(Dati!$L17+'Calcoli componente'!$K$30)*3600)</f>
        <v>#DIV/0!</v>
      </c>
      <c r="Q17" s="396"/>
      <c r="R17" s="396"/>
      <c r="S17" s="396"/>
      <c r="T17" s="396"/>
      <c r="U17" s="396"/>
      <c r="V17" s="396"/>
      <c r="W17" s="396"/>
      <c r="X17" s="396"/>
      <c r="Y17" s="396"/>
      <c r="Z17" s="396"/>
    </row>
    <row r="18" ht="12.0" customHeight="1">
      <c r="A18" s="396"/>
      <c r="B18" s="427"/>
      <c r="C18" s="427"/>
      <c r="D18" s="396"/>
      <c r="E18" s="396"/>
      <c r="F18" s="396"/>
      <c r="G18" s="396"/>
      <c r="H18" s="396"/>
      <c r="I18" s="396"/>
      <c r="J18" s="396"/>
      <c r="K18" s="396"/>
      <c r="L18" s="427">
        <f>L17+'Calcoli componente'!$R$26/24</f>
        <v>15</v>
      </c>
      <c r="M18" s="430">
        <f>COS('Calcoli componente'!$S$26*Dati!$L18*3600)</f>
        <v>-0.7071067812</v>
      </c>
      <c r="N18" s="430" t="str">
        <f>'Calcoli componente'!$L$40*COS('Calcoli componente'!$S$26*(Dati!$L18+'Calcoli componente'!$K$37)*3600)</f>
        <v>#DIV/0!</v>
      </c>
      <c r="O18" s="430" t="str">
        <f>'Calcoli componente'!$L$47*COS('Calcoli componente'!$S$26*(Dati!$L18+'Calcoli componente'!$K$44)*3600)</f>
        <v>#DIV/0!</v>
      </c>
      <c r="P18" s="430" t="str">
        <f>'Calcoli componente'!$L$33*COS('Calcoli componente'!$S$26*(Dati!$L18+'Calcoli componente'!$K$30)*3600)</f>
        <v>#DIV/0!</v>
      </c>
      <c r="Q18" s="396"/>
      <c r="R18" s="396"/>
      <c r="S18" s="396"/>
      <c r="T18" s="396"/>
      <c r="U18" s="396"/>
      <c r="V18" s="396"/>
      <c r="W18" s="396"/>
      <c r="X18" s="396"/>
      <c r="Y18" s="396"/>
      <c r="Z18" s="396"/>
    </row>
    <row r="19" ht="12.0" customHeight="1">
      <c r="A19" s="396"/>
      <c r="B19" s="427"/>
      <c r="C19" s="427"/>
      <c r="D19" s="396"/>
      <c r="E19" s="396"/>
      <c r="F19" s="396"/>
      <c r="G19" s="396"/>
      <c r="H19" s="396"/>
      <c r="I19" s="396"/>
      <c r="J19" s="396"/>
      <c r="K19" s="396"/>
      <c r="L19" s="427">
        <f>L18+'Calcoli componente'!$R$26/24</f>
        <v>16</v>
      </c>
      <c r="M19" s="430">
        <f>COS('Calcoli componente'!$S$26*Dati!$L19*3600)</f>
        <v>-0.5</v>
      </c>
      <c r="N19" s="430" t="str">
        <f>'Calcoli componente'!$L$40*COS('Calcoli componente'!$S$26*(Dati!$L19+'Calcoli componente'!$K$37)*3600)</f>
        <v>#DIV/0!</v>
      </c>
      <c r="O19" s="430" t="str">
        <f>'Calcoli componente'!$L$47*COS('Calcoli componente'!$S$26*(Dati!$L19+'Calcoli componente'!$K$44)*3600)</f>
        <v>#DIV/0!</v>
      </c>
      <c r="P19" s="430" t="str">
        <f>'Calcoli componente'!$L$33*COS('Calcoli componente'!$S$26*(Dati!$L19+'Calcoli componente'!$K$30)*3600)</f>
        <v>#DIV/0!</v>
      </c>
      <c r="Q19" s="396"/>
      <c r="R19" s="396"/>
      <c r="S19" s="396"/>
      <c r="T19" s="396"/>
      <c r="U19" s="396"/>
      <c r="V19" s="396"/>
      <c r="W19" s="396"/>
      <c r="X19" s="396"/>
      <c r="Y19" s="396"/>
      <c r="Z19" s="396"/>
    </row>
    <row r="20" ht="12.0" customHeight="1">
      <c r="A20" s="396"/>
      <c r="B20" s="427"/>
      <c r="C20" s="427"/>
      <c r="D20" s="396"/>
      <c r="E20" s="396"/>
      <c r="F20" s="396"/>
      <c r="G20" s="396"/>
      <c r="H20" s="396"/>
      <c r="I20" s="396"/>
      <c r="J20" s="396"/>
      <c r="K20" s="396"/>
      <c r="L20" s="427">
        <f>L19+'Calcoli componente'!$R$26/24</f>
        <v>17</v>
      </c>
      <c r="M20" s="430">
        <f>COS('Calcoli componente'!$S$26*Dati!$L20*3600)</f>
        <v>-0.2588190451</v>
      </c>
      <c r="N20" s="430" t="str">
        <f>'Calcoli componente'!$L$40*COS('Calcoli componente'!$S$26*(Dati!$L20+'Calcoli componente'!$K$37)*3600)</f>
        <v>#DIV/0!</v>
      </c>
      <c r="O20" s="430" t="str">
        <f>'Calcoli componente'!$L$47*COS('Calcoli componente'!$S$26*(Dati!$L20+'Calcoli componente'!$K$44)*3600)</f>
        <v>#DIV/0!</v>
      </c>
      <c r="P20" s="430" t="str">
        <f>'Calcoli componente'!$L$33*COS('Calcoli componente'!$S$26*(Dati!$L20+'Calcoli componente'!$K$30)*3600)</f>
        <v>#DIV/0!</v>
      </c>
      <c r="Q20" s="396"/>
      <c r="R20" s="396"/>
      <c r="S20" s="396"/>
      <c r="T20" s="396"/>
      <c r="U20" s="396"/>
      <c r="V20" s="396"/>
      <c r="W20" s="396"/>
      <c r="X20" s="396"/>
      <c r="Y20" s="396"/>
      <c r="Z20" s="396"/>
    </row>
    <row r="21" ht="12.0" customHeight="1">
      <c r="A21" s="396"/>
      <c r="B21" s="427"/>
      <c r="C21" s="427"/>
      <c r="D21" s="396"/>
      <c r="E21" s="396"/>
      <c r="F21" s="396"/>
      <c r="G21" s="396"/>
      <c r="H21" s="396"/>
      <c r="I21" s="396"/>
      <c r="J21" s="396"/>
      <c r="K21" s="396"/>
      <c r="L21" s="427">
        <f>L20+'Calcoli componente'!$R$26/24</f>
        <v>18</v>
      </c>
      <c r="M21" s="430">
        <f>COS('Calcoli componente'!$S$26*Dati!$L21*3600)</f>
        <v>0</v>
      </c>
      <c r="N21" s="430" t="str">
        <f>'Calcoli componente'!$L$40*COS('Calcoli componente'!$S$26*(Dati!$L21+'Calcoli componente'!$K$37)*3600)</f>
        <v>#DIV/0!</v>
      </c>
      <c r="O21" s="430" t="str">
        <f>'Calcoli componente'!$L$47*COS('Calcoli componente'!$S$26*(Dati!$L21+'Calcoli componente'!$K$44)*3600)</f>
        <v>#DIV/0!</v>
      </c>
      <c r="P21" s="430" t="str">
        <f>'Calcoli componente'!$L$33*COS('Calcoli componente'!$S$26*(Dati!$L21+'Calcoli componente'!$K$30)*3600)</f>
        <v>#DIV/0!</v>
      </c>
      <c r="Q21" s="396"/>
      <c r="R21" s="396"/>
      <c r="S21" s="396"/>
      <c r="T21" s="396"/>
      <c r="U21" s="396"/>
      <c r="V21" s="396"/>
      <c r="W21" s="396"/>
      <c r="X21" s="396"/>
      <c r="Y21" s="396"/>
      <c r="Z21" s="396"/>
    </row>
    <row r="22" ht="12.0" customHeight="1">
      <c r="A22" s="396"/>
      <c r="B22" s="427"/>
      <c r="C22" s="427"/>
      <c r="D22" s="396"/>
      <c r="E22" s="396"/>
      <c r="F22" s="396"/>
      <c r="G22" s="396"/>
      <c r="H22" s="396"/>
      <c r="I22" s="396"/>
      <c r="J22" s="396"/>
      <c r="K22" s="396"/>
      <c r="L22" s="427">
        <f>L21+'Calcoli componente'!$R$26/24</f>
        <v>19</v>
      </c>
      <c r="M22" s="430">
        <f>COS('Calcoli componente'!$S$26*Dati!$L22*3600)</f>
        <v>0.2588190451</v>
      </c>
      <c r="N22" s="430" t="str">
        <f>'Calcoli componente'!$L$40*COS('Calcoli componente'!$S$26*(Dati!$L22+'Calcoli componente'!$K$37)*3600)</f>
        <v>#DIV/0!</v>
      </c>
      <c r="O22" s="430" t="str">
        <f>'Calcoli componente'!$L$47*COS('Calcoli componente'!$S$26*(Dati!$L22+'Calcoli componente'!$K$44)*3600)</f>
        <v>#DIV/0!</v>
      </c>
      <c r="P22" s="430" t="str">
        <f>'Calcoli componente'!$L$33*COS('Calcoli componente'!$S$26*(Dati!$L22+'Calcoli componente'!$K$30)*3600)</f>
        <v>#DIV/0!</v>
      </c>
      <c r="Q22" s="396"/>
      <c r="R22" s="396"/>
      <c r="S22" s="396"/>
      <c r="T22" s="396"/>
      <c r="U22" s="396"/>
      <c r="V22" s="396"/>
      <c r="W22" s="396"/>
      <c r="X22" s="396"/>
      <c r="Y22" s="396"/>
      <c r="Z22" s="396"/>
    </row>
    <row r="23" ht="12.0" customHeight="1">
      <c r="A23" s="396"/>
      <c r="B23" s="427"/>
      <c r="C23" s="427"/>
      <c r="D23" s="396"/>
      <c r="E23" s="396"/>
      <c r="F23" s="396"/>
      <c r="G23" s="396"/>
      <c r="H23" s="396"/>
      <c r="I23" s="396"/>
      <c r="J23" s="396"/>
      <c r="K23" s="396"/>
      <c r="L23" s="427">
        <f>L22+'Calcoli componente'!$R$26/24</f>
        <v>20</v>
      </c>
      <c r="M23" s="430">
        <f>COS('Calcoli componente'!$S$26*Dati!$L23*3600)</f>
        <v>0.5</v>
      </c>
      <c r="N23" s="430" t="str">
        <f>'Calcoli componente'!$L$40*COS('Calcoli componente'!$S$26*(Dati!$L23+'Calcoli componente'!$K$37)*3600)</f>
        <v>#DIV/0!</v>
      </c>
      <c r="O23" s="430" t="str">
        <f>'Calcoli componente'!$L$47*COS('Calcoli componente'!$S$26*(Dati!$L23+'Calcoli componente'!$K$44)*3600)</f>
        <v>#DIV/0!</v>
      </c>
      <c r="P23" s="430" t="str">
        <f>'Calcoli componente'!$L$33*COS('Calcoli componente'!$S$26*(Dati!$L23+'Calcoli componente'!$K$30)*3600)</f>
        <v>#DIV/0!</v>
      </c>
      <c r="Q23" s="396"/>
      <c r="R23" s="396"/>
      <c r="S23" s="396"/>
      <c r="T23" s="396"/>
      <c r="U23" s="396"/>
      <c r="V23" s="396"/>
      <c r="W23" s="396"/>
      <c r="X23" s="396"/>
      <c r="Y23" s="396"/>
      <c r="Z23" s="396"/>
    </row>
    <row r="24" ht="12.0" customHeight="1">
      <c r="A24" s="396"/>
      <c r="B24" s="427"/>
      <c r="C24" s="427"/>
      <c r="D24" s="396"/>
      <c r="E24" s="396"/>
      <c r="F24" s="396"/>
      <c r="G24" s="396"/>
      <c r="H24" s="396"/>
      <c r="I24" s="396"/>
      <c r="J24" s="396"/>
      <c r="K24" s="396"/>
      <c r="L24" s="427">
        <f>L23+'Calcoli componente'!$R$26/24</f>
        <v>21</v>
      </c>
      <c r="M24" s="430">
        <f>COS('Calcoli componente'!$S$26*Dati!$L24*3600)</f>
        <v>0.7071067812</v>
      </c>
      <c r="N24" s="430" t="str">
        <f>'Calcoli componente'!$L$40*COS('Calcoli componente'!$S$26*(Dati!$L24+'Calcoli componente'!$K$37)*3600)</f>
        <v>#DIV/0!</v>
      </c>
      <c r="O24" s="430" t="str">
        <f>'Calcoli componente'!$L$47*COS('Calcoli componente'!$S$26*(Dati!$L24+'Calcoli componente'!$K$44)*3600)</f>
        <v>#DIV/0!</v>
      </c>
      <c r="P24" s="430" t="str">
        <f>'Calcoli componente'!$L$33*COS('Calcoli componente'!$S$26*(Dati!$L24+'Calcoli componente'!$K$30)*3600)</f>
        <v>#DIV/0!</v>
      </c>
      <c r="Q24" s="396"/>
      <c r="R24" s="396"/>
      <c r="S24" s="396"/>
      <c r="T24" s="396"/>
      <c r="U24" s="396"/>
      <c r="V24" s="396"/>
      <c r="W24" s="396"/>
      <c r="X24" s="396"/>
      <c r="Y24" s="396"/>
      <c r="Z24" s="396"/>
    </row>
    <row r="25" ht="12.0" customHeight="1">
      <c r="A25" s="396"/>
      <c r="B25" s="427"/>
      <c r="C25" s="427"/>
      <c r="D25" s="396"/>
      <c r="E25" s="396"/>
      <c r="F25" s="396"/>
      <c r="G25" s="396"/>
      <c r="H25" s="396"/>
      <c r="I25" s="396"/>
      <c r="J25" s="396"/>
      <c r="K25" s="396"/>
      <c r="L25" s="427">
        <f>L24+'Calcoli componente'!$R$26/24</f>
        <v>22</v>
      </c>
      <c r="M25" s="430">
        <f>COS('Calcoli componente'!$S$26*Dati!$L25*3600)</f>
        <v>0.8660254038</v>
      </c>
      <c r="N25" s="430" t="str">
        <f>'Calcoli componente'!$L$40*COS('Calcoli componente'!$S$26*(Dati!$L25+'Calcoli componente'!$K$37)*3600)</f>
        <v>#DIV/0!</v>
      </c>
      <c r="O25" s="430" t="str">
        <f>'Calcoli componente'!$L$47*COS('Calcoli componente'!$S$26*(Dati!$L25+'Calcoli componente'!$K$44)*3600)</f>
        <v>#DIV/0!</v>
      </c>
      <c r="P25" s="430" t="str">
        <f>'Calcoli componente'!$L$33*COS('Calcoli componente'!$S$26*(Dati!$L25+'Calcoli componente'!$K$30)*3600)</f>
        <v>#DIV/0!</v>
      </c>
      <c r="Q25" s="396"/>
      <c r="R25" s="396"/>
      <c r="S25" s="396"/>
      <c r="T25" s="396"/>
      <c r="U25" s="396"/>
      <c r="V25" s="396"/>
      <c r="W25" s="396"/>
      <c r="X25" s="396"/>
      <c r="Y25" s="396"/>
      <c r="Z25" s="396"/>
    </row>
    <row r="26" ht="12.0" customHeight="1">
      <c r="A26" s="396"/>
      <c r="B26" s="427"/>
      <c r="C26" s="427"/>
      <c r="D26" s="396"/>
      <c r="E26" s="396"/>
      <c r="F26" s="396"/>
      <c r="G26" s="396"/>
      <c r="H26" s="396"/>
      <c r="I26" s="396"/>
      <c r="J26" s="396"/>
      <c r="K26" s="396"/>
      <c r="L26" s="427">
        <f>L25+'Calcoli componente'!$R$26/24</f>
        <v>23</v>
      </c>
      <c r="M26" s="430">
        <f>COS('Calcoli componente'!$S$26*Dati!$L26*3600)</f>
        <v>0.9659258263</v>
      </c>
      <c r="N26" s="430" t="str">
        <f>'Calcoli componente'!$L$40*COS('Calcoli componente'!$S$26*(Dati!$L26+'Calcoli componente'!$K$37)*3600)</f>
        <v>#DIV/0!</v>
      </c>
      <c r="O26" s="430" t="str">
        <f>'Calcoli componente'!$L$47*COS('Calcoli componente'!$S$26*(Dati!$L26+'Calcoli componente'!$K$44)*3600)</f>
        <v>#DIV/0!</v>
      </c>
      <c r="P26" s="430" t="str">
        <f>'Calcoli componente'!$L$33*COS('Calcoli componente'!$S$26*(Dati!$L26+'Calcoli componente'!$K$30)*3600)</f>
        <v>#DIV/0!</v>
      </c>
      <c r="Q26" s="396"/>
      <c r="R26" s="396"/>
      <c r="S26" s="396"/>
      <c r="T26" s="396"/>
      <c r="U26" s="396"/>
      <c r="V26" s="396"/>
      <c r="W26" s="396"/>
      <c r="X26" s="396"/>
      <c r="Y26" s="396"/>
      <c r="Z26" s="396"/>
    </row>
    <row r="27" ht="12.0" customHeight="1">
      <c r="A27" s="396"/>
      <c r="B27" s="427"/>
      <c r="C27" s="427"/>
      <c r="D27" s="396"/>
      <c r="E27" s="396"/>
      <c r="F27" s="396"/>
      <c r="G27" s="396"/>
      <c r="H27" s="396"/>
      <c r="I27" s="396"/>
      <c r="J27" s="396"/>
      <c r="K27" s="396"/>
      <c r="L27" s="427">
        <f>L26+'Calcoli componente'!$R$26/24</f>
        <v>24</v>
      </c>
      <c r="M27" s="430">
        <f>COS('Calcoli componente'!$S$26*Dati!$L27*3600)</f>
        <v>1</v>
      </c>
      <c r="N27" s="430" t="str">
        <f>'Calcoli componente'!$L$40*COS('Calcoli componente'!$S$26*(Dati!$L27+'Calcoli componente'!$K$37)*3600)</f>
        <v>#DIV/0!</v>
      </c>
      <c r="O27" s="430" t="str">
        <f>'Calcoli componente'!$L$47*COS('Calcoli componente'!$S$26*(Dati!$L27+'Calcoli componente'!$K$44)*3600)</f>
        <v>#DIV/0!</v>
      </c>
      <c r="P27" s="430" t="str">
        <f>'Calcoli componente'!$L$33*COS('Calcoli componente'!$S$26*(Dati!$L27+'Calcoli componente'!$K$30)*3600)</f>
        <v>#DIV/0!</v>
      </c>
      <c r="Q27" s="396"/>
      <c r="R27" s="396"/>
      <c r="S27" s="396"/>
      <c r="T27" s="396"/>
      <c r="U27" s="396"/>
      <c r="V27" s="396"/>
      <c r="W27" s="396"/>
      <c r="X27" s="396"/>
      <c r="Y27" s="396"/>
      <c r="Z27" s="396"/>
    </row>
    <row r="28" ht="12.0" customHeight="1">
      <c r="A28" s="396"/>
      <c r="B28" s="427"/>
      <c r="C28" s="427"/>
      <c r="D28" s="396"/>
      <c r="E28" s="396"/>
      <c r="F28" s="396"/>
      <c r="G28" s="396"/>
      <c r="H28" s="396"/>
      <c r="I28" s="396"/>
      <c r="J28" s="396"/>
      <c r="K28" s="396"/>
      <c r="L28" s="396"/>
      <c r="M28" s="396"/>
      <c r="N28" s="396"/>
      <c r="O28" s="396"/>
      <c r="P28" s="396"/>
      <c r="Q28" s="396"/>
      <c r="R28" s="396"/>
      <c r="S28" s="396"/>
      <c r="T28" s="396"/>
      <c r="U28" s="396"/>
      <c r="V28" s="396"/>
      <c r="W28" s="396"/>
      <c r="X28" s="396"/>
      <c r="Y28" s="396"/>
      <c r="Z28" s="396"/>
    </row>
    <row r="29" ht="12.0" customHeight="1">
      <c r="A29" s="396"/>
      <c r="B29" s="427"/>
      <c r="C29" s="427"/>
      <c r="D29" s="396"/>
      <c r="E29" s="396"/>
      <c r="F29" s="396"/>
      <c r="G29" s="396"/>
      <c r="H29" s="396"/>
      <c r="I29" s="396"/>
      <c r="J29" s="396"/>
      <c r="K29" s="396"/>
      <c r="L29" s="396"/>
      <c r="M29" s="396"/>
      <c r="N29" s="396"/>
      <c r="O29" s="396"/>
      <c r="P29" s="396"/>
      <c r="Q29" s="396"/>
      <c r="R29" s="396"/>
      <c r="S29" s="396"/>
      <c r="T29" s="396"/>
      <c r="U29" s="396"/>
      <c r="V29" s="396"/>
      <c r="W29" s="396"/>
      <c r="X29" s="396"/>
      <c r="Y29" s="396"/>
      <c r="Z29" s="396"/>
    </row>
    <row r="30" ht="12.0" customHeight="1">
      <c r="A30" s="396"/>
      <c r="B30" s="427"/>
      <c r="C30" s="427"/>
      <c r="D30" s="396"/>
      <c r="E30" s="396"/>
      <c r="F30" s="396"/>
      <c r="G30" s="396"/>
      <c r="H30" s="396"/>
      <c r="I30" s="396"/>
      <c r="J30" s="396"/>
      <c r="K30" s="396"/>
      <c r="L30" s="396"/>
      <c r="M30" s="396"/>
      <c r="N30" s="396"/>
      <c r="O30" s="396"/>
      <c r="P30" s="396"/>
      <c r="Q30" s="396"/>
      <c r="R30" s="396"/>
      <c r="S30" s="396"/>
      <c r="T30" s="396"/>
      <c r="U30" s="396"/>
      <c r="V30" s="396"/>
      <c r="W30" s="396"/>
      <c r="X30" s="396"/>
      <c r="Y30" s="396"/>
      <c r="Z30" s="396"/>
    </row>
    <row r="31" ht="12.0" customHeight="1">
      <c r="A31" s="396"/>
      <c r="B31" s="427"/>
      <c r="C31" s="427"/>
      <c r="D31" s="396"/>
      <c r="E31" s="396"/>
      <c r="F31" s="396"/>
      <c r="G31" s="396"/>
      <c r="H31" s="396"/>
      <c r="I31" s="396"/>
      <c r="J31" s="396"/>
      <c r="K31" s="396"/>
      <c r="L31" s="396"/>
      <c r="M31" s="396"/>
      <c r="N31" s="396"/>
      <c r="O31" s="396"/>
      <c r="P31" s="396"/>
      <c r="Q31" s="396"/>
      <c r="R31" s="396"/>
      <c r="S31" s="396"/>
      <c r="T31" s="396"/>
      <c r="U31" s="396"/>
      <c r="V31" s="396"/>
      <c r="W31" s="396"/>
      <c r="X31" s="396"/>
      <c r="Y31" s="396"/>
      <c r="Z31" s="396"/>
    </row>
    <row r="32" ht="12.0" customHeight="1">
      <c r="A32" s="396"/>
      <c r="B32" s="427"/>
      <c r="C32" s="427"/>
      <c r="D32" s="396"/>
      <c r="E32" s="396"/>
      <c r="F32" s="396"/>
      <c r="G32" s="396"/>
      <c r="H32" s="396"/>
      <c r="I32" s="396"/>
      <c r="J32" s="396"/>
      <c r="K32" s="396"/>
      <c r="L32" s="396"/>
      <c r="M32" s="396"/>
      <c r="N32" s="396"/>
      <c r="O32" s="396"/>
      <c r="P32" s="396"/>
      <c r="Q32" s="396"/>
      <c r="R32" s="396"/>
      <c r="S32" s="396"/>
      <c r="T32" s="396"/>
      <c r="U32" s="396"/>
      <c r="V32" s="396"/>
      <c r="W32" s="396"/>
      <c r="X32" s="396"/>
      <c r="Y32" s="396"/>
      <c r="Z32" s="396"/>
    </row>
    <row r="33" ht="12.0" customHeight="1">
      <c r="A33" s="396"/>
      <c r="B33" s="427"/>
      <c r="C33" s="427"/>
      <c r="D33" s="396"/>
      <c r="E33" s="396"/>
      <c r="F33" s="396"/>
      <c r="G33" s="396"/>
      <c r="H33" s="396"/>
      <c r="I33" s="396"/>
      <c r="J33" s="396"/>
      <c r="K33" s="396"/>
      <c r="L33" s="396"/>
      <c r="M33" s="396"/>
      <c r="N33" s="396"/>
      <c r="O33" s="396"/>
      <c r="P33" s="396"/>
      <c r="Q33" s="396"/>
      <c r="R33" s="396"/>
      <c r="S33" s="396"/>
      <c r="T33" s="396"/>
      <c r="U33" s="396"/>
      <c r="V33" s="396"/>
      <c r="W33" s="396"/>
      <c r="X33" s="396"/>
      <c r="Y33" s="396"/>
      <c r="Z33" s="396"/>
    </row>
    <row r="34" ht="12.0" customHeight="1">
      <c r="A34" s="396"/>
      <c r="B34" s="427"/>
      <c r="C34" s="427"/>
      <c r="D34" s="396"/>
      <c r="E34" s="396"/>
      <c r="F34" s="396"/>
      <c r="G34" s="396"/>
      <c r="H34" s="396"/>
      <c r="I34" s="396"/>
      <c r="J34" s="396"/>
      <c r="K34" s="396"/>
      <c r="L34" s="396"/>
      <c r="M34" s="396"/>
      <c r="N34" s="396"/>
      <c r="O34" s="396"/>
      <c r="P34" s="396"/>
      <c r="Q34" s="396"/>
      <c r="R34" s="396"/>
      <c r="S34" s="396"/>
      <c r="T34" s="396"/>
      <c r="U34" s="396"/>
      <c r="V34" s="396"/>
      <c r="W34" s="396"/>
      <c r="X34" s="396"/>
      <c r="Y34" s="396"/>
      <c r="Z34" s="396"/>
    </row>
    <row r="35" ht="12.0" customHeight="1">
      <c r="A35" s="396"/>
      <c r="B35" s="427"/>
      <c r="C35" s="427"/>
      <c r="D35" s="396"/>
      <c r="E35" s="396"/>
      <c r="F35" s="396"/>
      <c r="G35" s="396"/>
      <c r="H35" s="396"/>
      <c r="I35" s="396"/>
      <c r="J35" s="396"/>
      <c r="K35" s="396"/>
      <c r="L35" s="396"/>
      <c r="M35" s="396"/>
      <c r="N35" s="396"/>
      <c r="O35" s="396"/>
      <c r="P35" s="396"/>
      <c r="Q35" s="396"/>
      <c r="R35" s="396"/>
      <c r="S35" s="396"/>
      <c r="T35" s="396"/>
      <c r="U35" s="396"/>
      <c r="V35" s="396"/>
      <c r="W35" s="396"/>
      <c r="X35" s="396"/>
      <c r="Y35" s="396"/>
      <c r="Z35" s="396"/>
    </row>
    <row r="36" ht="12.0" customHeight="1">
      <c r="A36" s="396"/>
      <c r="B36" s="427"/>
      <c r="C36" s="427"/>
      <c r="D36" s="396"/>
      <c r="E36" s="396"/>
      <c r="F36" s="396"/>
      <c r="G36" s="396"/>
      <c r="H36" s="396"/>
      <c r="I36" s="396"/>
      <c r="J36" s="396"/>
      <c r="K36" s="396"/>
      <c r="L36" s="396"/>
      <c r="M36" s="396"/>
      <c r="N36" s="396"/>
      <c r="O36" s="396"/>
      <c r="P36" s="396"/>
      <c r="Q36" s="396"/>
      <c r="R36" s="396"/>
      <c r="S36" s="396"/>
      <c r="T36" s="396"/>
      <c r="U36" s="396"/>
      <c r="V36" s="396"/>
      <c r="W36" s="396"/>
      <c r="X36" s="396"/>
      <c r="Y36" s="396"/>
      <c r="Z36" s="396"/>
    </row>
    <row r="37" ht="12.0" customHeight="1">
      <c r="A37" s="396"/>
      <c r="B37" s="427"/>
      <c r="C37" s="427"/>
      <c r="D37" s="396"/>
      <c r="E37" s="396"/>
      <c r="F37" s="396"/>
      <c r="G37" s="396"/>
      <c r="H37" s="396"/>
      <c r="I37" s="396"/>
      <c r="J37" s="396"/>
      <c r="K37" s="396"/>
      <c r="L37" s="396"/>
      <c r="M37" s="396"/>
      <c r="N37" s="396"/>
      <c r="O37" s="396"/>
      <c r="P37" s="396"/>
      <c r="Q37" s="396"/>
      <c r="R37" s="396"/>
      <c r="S37" s="396"/>
      <c r="T37" s="396"/>
      <c r="U37" s="396"/>
      <c r="V37" s="396"/>
      <c r="W37" s="396"/>
      <c r="X37" s="396"/>
      <c r="Y37" s="396"/>
      <c r="Z37" s="396"/>
    </row>
    <row r="38" ht="12.0" customHeight="1">
      <c r="A38" s="396"/>
      <c r="B38" s="427"/>
      <c r="C38" s="427"/>
      <c r="D38" s="396"/>
      <c r="E38" s="396"/>
      <c r="F38" s="396"/>
      <c r="G38" s="396"/>
      <c r="H38" s="396"/>
      <c r="I38" s="396"/>
      <c r="J38" s="396"/>
      <c r="K38" s="396"/>
      <c r="L38" s="396"/>
      <c r="M38" s="396"/>
      <c r="N38" s="396"/>
      <c r="O38" s="396"/>
      <c r="P38" s="396"/>
      <c r="Q38" s="396"/>
      <c r="R38" s="396"/>
      <c r="S38" s="396"/>
      <c r="T38" s="396"/>
      <c r="U38" s="396"/>
      <c r="V38" s="396"/>
      <c r="W38" s="396"/>
      <c r="X38" s="396"/>
      <c r="Y38" s="396"/>
      <c r="Z38" s="396"/>
    </row>
    <row r="39" ht="12.0" customHeight="1">
      <c r="A39" s="396"/>
      <c r="B39" s="427"/>
      <c r="C39" s="427"/>
      <c r="D39" s="396"/>
      <c r="E39" s="396"/>
      <c r="F39" s="396"/>
      <c r="G39" s="396"/>
      <c r="H39" s="396"/>
      <c r="I39" s="396"/>
      <c r="J39" s="396"/>
      <c r="K39" s="396"/>
      <c r="L39" s="396"/>
      <c r="M39" s="396"/>
      <c r="N39" s="396"/>
      <c r="O39" s="396"/>
      <c r="P39" s="396"/>
      <c r="Q39" s="396"/>
      <c r="R39" s="396"/>
      <c r="S39" s="396"/>
      <c r="T39" s="396"/>
      <c r="U39" s="396"/>
      <c r="V39" s="396"/>
      <c r="W39" s="396"/>
      <c r="X39" s="396"/>
      <c r="Y39" s="396"/>
      <c r="Z39" s="396"/>
    </row>
    <row r="40" ht="12.0" customHeight="1">
      <c r="A40" s="396"/>
      <c r="B40" s="427"/>
      <c r="C40" s="427"/>
      <c r="D40" s="396"/>
      <c r="E40" s="396"/>
      <c r="F40" s="396"/>
      <c r="G40" s="396"/>
      <c r="H40" s="396"/>
      <c r="I40" s="396"/>
      <c r="J40" s="396"/>
      <c r="K40" s="396"/>
      <c r="L40" s="396"/>
      <c r="M40" s="396"/>
      <c r="N40" s="396"/>
      <c r="O40" s="396"/>
      <c r="P40" s="396"/>
      <c r="Q40" s="396"/>
      <c r="R40" s="396"/>
      <c r="S40" s="396"/>
      <c r="T40" s="396"/>
      <c r="U40" s="396"/>
      <c r="V40" s="396"/>
      <c r="W40" s="396"/>
      <c r="X40" s="396"/>
      <c r="Y40" s="396"/>
      <c r="Z40" s="396"/>
    </row>
    <row r="41" ht="12.0" customHeight="1">
      <c r="A41" s="396"/>
      <c r="B41" s="427"/>
      <c r="C41" s="427"/>
      <c r="D41" s="396"/>
      <c r="E41" s="396"/>
      <c r="F41" s="396"/>
      <c r="G41" s="396"/>
      <c r="H41" s="396"/>
      <c r="I41" s="396"/>
      <c r="J41" s="396"/>
      <c r="K41" s="396"/>
      <c r="L41" s="396"/>
      <c r="M41" s="396"/>
      <c r="N41" s="396"/>
      <c r="O41" s="396"/>
      <c r="P41" s="396"/>
      <c r="Q41" s="396"/>
      <c r="R41" s="396"/>
      <c r="S41" s="396"/>
      <c r="T41" s="396"/>
      <c r="U41" s="396"/>
      <c r="V41" s="396"/>
      <c r="W41" s="396"/>
      <c r="X41" s="396"/>
      <c r="Y41" s="396"/>
      <c r="Z41" s="396"/>
    </row>
    <row r="42" ht="12.0" customHeight="1">
      <c r="A42" s="396"/>
      <c r="B42" s="427"/>
      <c r="C42" s="427"/>
      <c r="D42" s="396"/>
      <c r="E42" s="396"/>
      <c r="F42" s="396"/>
      <c r="G42" s="396"/>
      <c r="H42" s="396"/>
      <c r="I42" s="396"/>
      <c r="J42" s="396"/>
      <c r="K42" s="396"/>
      <c r="L42" s="396"/>
      <c r="M42" s="396"/>
      <c r="N42" s="396"/>
      <c r="O42" s="396"/>
      <c r="P42" s="396"/>
      <c r="Q42" s="396"/>
      <c r="R42" s="396"/>
      <c r="S42" s="396"/>
      <c r="T42" s="396"/>
      <c r="U42" s="396"/>
      <c r="V42" s="396"/>
      <c r="W42" s="396"/>
      <c r="X42" s="396"/>
      <c r="Y42" s="396"/>
      <c r="Z42" s="396"/>
    </row>
    <row r="43" ht="12.0" customHeight="1">
      <c r="A43" s="396"/>
      <c r="B43" s="427"/>
      <c r="C43" s="427"/>
      <c r="D43" s="396"/>
      <c r="E43" s="396"/>
      <c r="F43" s="396"/>
      <c r="G43" s="396"/>
      <c r="H43" s="396"/>
      <c r="I43" s="396"/>
      <c r="J43" s="396"/>
      <c r="K43" s="396"/>
      <c r="L43" s="396"/>
      <c r="M43" s="396"/>
      <c r="N43" s="396"/>
      <c r="O43" s="396"/>
      <c r="P43" s="396"/>
      <c r="Q43" s="396"/>
      <c r="R43" s="396"/>
      <c r="S43" s="396"/>
      <c r="T43" s="396"/>
      <c r="U43" s="396"/>
      <c r="V43" s="396"/>
      <c r="W43" s="396"/>
      <c r="X43" s="396"/>
      <c r="Y43" s="396"/>
      <c r="Z43" s="396"/>
    </row>
    <row r="44" ht="12.0" customHeight="1">
      <c r="A44" s="396"/>
      <c r="B44" s="427"/>
      <c r="C44" s="427"/>
      <c r="D44" s="396"/>
      <c r="E44" s="396"/>
      <c r="F44" s="396"/>
      <c r="G44" s="396"/>
      <c r="H44" s="396"/>
      <c r="I44" s="396"/>
      <c r="J44" s="396"/>
      <c r="K44" s="396"/>
      <c r="L44" s="396"/>
      <c r="M44" s="396"/>
      <c r="N44" s="396"/>
      <c r="O44" s="396"/>
      <c r="P44" s="396"/>
      <c r="Q44" s="396"/>
      <c r="R44" s="396"/>
      <c r="S44" s="396"/>
      <c r="T44" s="396"/>
      <c r="U44" s="396"/>
      <c r="V44" s="396"/>
      <c r="W44" s="396"/>
      <c r="X44" s="396"/>
      <c r="Y44" s="396"/>
      <c r="Z44" s="396"/>
    </row>
    <row r="45" ht="12.0" customHeight="1">
      <c r="A45" s="396"/>
      <c r="B45" s="427"/>
      <c r="C45" s="427"/>
      <c r="D45" s="396"/>
      <c r="E45" s="396"/>
      <c r="F45" s="396"/>
      <c r="G45" s="396"/>
      <c r="H45" s="396"/>
      <c r="I45" s="396"/>
      <c r="J45" s="396"/>
      <c r="K45" s="396"/>
      <c r="L45" s="396"/>
      <c r="M45" s="396"/>
      <c r="N45" s="396"/>
      <c r="O45" s="396"/>
      <c r="P45" s="396"/>
      <c r="Q45" s="396"/>
      <c r="R45" s="396"/>
      <c r="S45" s="396"/>
      <c r="T45" s="396"/>
      <c r="U45" s="396"/>
      <c r="V45" s="396"/>
      <c r="W45" s="396"/>
      <c r="X45" s="396"/>
      <c r="Y45" s="396"/>
      <c r="Z45" s="396"/>
    </row>
    <row r="46" ht="12.0" customHeight="1">
      <c r="A46" s="396"/>
      <c r="B46" s="427"/>
      <c r="C46" s="427"/>
      <c r="D46" s="396"/>
      <c r="E46" s="396"/>
      <c r="F46" s="396"/>
      <c r="G46" s="396"/>
      <c r="H46" s="396"/>
      <c r="I46" s="396"/>
      <c r="J46" s="396"/>
      <c r="K46" s="396"/>
      <c r="L46" s="396"/>
      <c r="M46" s="396"/>
      <c r="N46" s="396"/>
      <c r="O46" s="396"/>
      <c r="P46" s="396"/>
      <c r="Q46" s="396"/>
      <c r="R46" s="396"/>
      <c r="S46" s="396"/>
      <c r="T46" s="396"/>
      <c r="U46" s="396"/>
      <c r="V46" s="396"/>
      <c r="W46" s="396"/>
      <c r="X46" s="396"/>
      <c r="Y46" s="396"/>
      <c r="Z46" s="396"/>
    </row>
    <row r="47" ht="12.0" customHeight="1">
      <c r="A47" s="396"/>
      <c r="B47" s="427"/>
      <c r="C47" s="427"/>
      <c r="D47" s="396"/>
      <c r="E47" s="396"/>
      <c r="F47" s="396"/>
      <c r="G47" s="396"/>
      <c r="H47" s="396"/>
      <c r="I47" s="396"/>
      <c r="J47" s="396"/>
      <c r="K47" s="396"/>
      <c r="L47" s="396"/>
      <c r="M47" s="396"/>
      <c r="N47" s="396"/>
      <c r="O47" s="396"/>
      <c r="P47" s="396"/>
      <c r="Q47" s="396"/>
      <c r="R47" s="396"/>
      <c r="S47" s="396"/>
      <c r="T47" s="396"/>
      <c r="U47" s="396"/>
      <c r="V47" s="396"/>
      <c r="W47" s="396"/>
      <c r="X47" s="396"/>
      <c r="Y47" s="396"/>
      <c r="Z47" s="396"/>
    </row>
    <row r="48" ht="12.0" customHeight="1">
      <c r="A48" s="396"/>
      <c r="B48" s="427"/>
      <c r="C48" s="427"/>
      <c r="D48" s="396"/>
      <c r="E48" s="396"/>
      <c r="F48" s="396"/>
      <c r="G48" s="396"/>
      <c r="H48" s="396"/>
      <c r="I48" s="396"/>
      <c r="J48" s="396"/>
      <c r="K48" s="396"/>
      <c r="L48" s="396"/>
      <c r="M48" s="396"/>
      <c r="N48" s="396"/>
      <c r="O48" s="396"/>
      <c r="P48" s="396"/>
      <c r="Q48" s="396"/>
      <c r="R48" s="396"/>
      <c r="S48" s="396"/>
      <c r="T48" s="396"/>
      <c r="U48" s="396"/>
      <c r="V48" s="396"/>
      <c r="W48" s="396"/>
      <c r="X48" s="396"/>
      <c r="Y48" s="396"/>
      <c r="Z48" s="396"/>
    </row>
    <row r="49" ht="12.0" customHeight="1">
      <c r="A49" s="396"/>
      <c r="B49" s="427"/>
      <c r="C49" s="427"/>
      <c r="D49" s="396"/>
      <c r="E49" s="396"/>
      <c r="F49" s="396"/>
      <c r="G49" s="396"/>
      <c r="H49" s="396"/>
      <c r="I49" s="396"/>
      <c r="J49" s="396"/>
      <c r="K49" s="396"/>
      <c r="L49" s="396"/>
      <c r="M49" s="396"/>
      <c r="N49" s="396"/>
      <c r="O49" s="396"/>
      <c r="P49" s="396"/>
      <c r="Q49" s="396"/>
      <c r="R49" s="396"/>
      <c r="S49" s="396"/>
      <c r="T49" s="396"/>
      <c r="U49" s="396"/>
      <c r="V49" s="396"/>
      <c r="W49" s="396"/>
      <c r="X49" s="396"/>
      <c r="Y49" s="396"/>
      <c r="Z49" s="396"/>
    </row>
    <row r="50" ht="12.0" customHeight="1">
      <c r="A50" s="396"/>
      <c r="B50" s="427"/>
      <c r="C50" s="427"/>
      <c r="D50" s="396"/>
      <c r="E50" s="396"/>
      <c r="F50" s="396"/>
      <c r="G50" s="396"/>
      <c r="H50" s="396"/>
      <c r="I50" s="396"/>
      <c r="J50" s="396"/>
      <c r="K50" s="396"/>
      <c r="L50" s="396"/>
      <c r="M50" s="396"/>
      <c r="N50" s="396"/>
      <c r="O50" s="396"/>
      <c r="P50" s="396"/>
      <c r="Q50" s="396"/>
      <c r="R50" s="396"/>
      <c r="S50" s="396"/>
      <c r="T50" s="396"/>
      <c r="U50" s="396"/>
      <c r="V50" s="396"/>
      <c r="W50" s="396"/>
      <c r="X50" s="396"/>
      <c r="Y50" s="396"/>
      <c r="Z50" s="396"/>
    </row>
    <row r="51" ht="12.0" customHeight="1">
      <c r="A51" s="396"/>
      <c r="B51" s="427"/>
      <c r="C51" s="427"/>
      <c r="D51" s="396"/>
      <c r="E51" s="396"/>
      <c r="F51" s="396"/>
      <c r="G51" s="396"/>
      <c r="H51" s="396"/>
      <c r="I51" s="396"/>
      <c r="J51" s="396"/>
      <c r="K51" s="396"/>
      <c r="L51" s="396"/>
      <c r="M51" s="396"/>
      <c r="N51" s="396"/>
      <c r="O51" s="396"/>
      <c r="P51" s="396"/>
      <c r="Q51" s="396"/>
      <c r="R51" s="396"/>
      <c r="S51" s="396"/>
      <c r="T51" s="396"/>
      <c r="U51" s="396"/>
      <c r="V51" s="396"/>
      <c r="W51" s="396"/>
      <c r="X51" s="396"/>
      <c r="Y51" s="396"/>
      <c r="Z51" s="396"/>
    </row>
    <row r="52" ht="12.0" customHeight="1">
      <c r="A52" s="396"/>
      <c r="B52" s="427"/>
      <c r="C52" s="427"/>
      <c r="D52" s="396"/>
      <c r="E52" s="396"/>
      <c r="F52" s="396"/>
      <c r="G52" s="396"/>
      <c r="H52" s="396"/>
      <c r="I52" s="396"/>
      <c r="J52" s="396"/>
      <c r="K52" s="396"/>
      <c r="L52" s="396"/>
      <c r="M52" s="396"/>
      <c r="N52" s="396"/>
      <c r="O52" s="396"/>
      <c r="P52" s="396"/>
      <c r="Q52" s="396"/>
      <c r="R52" s="396"/>
      <c r="S52" s="396"/>
      <c r="T52" s="396"/>
      <c r="U52" s="396"/>
      <c r="V52" s="396"/>
      <c r="W52" s="396"/>
      <c r="X52" s="396"/>
      <c r="Y52" s="396"/>
      <c r="Z52" s="396"/>
    </row>
    <row r="53" ht="12.0" customHeight="1">
      <c r="A53" s="396"/>
      <c r="B53" s="427"/>
      <c r="C53" s="427"/>
      <c r="D53" s="396"/>
      <c r="E53" s="396"/>
      <c r="F53" s="396"/>
      <c r="G53" s="396"/>
      <c r="H53" s="396"/>
      <c r="I53" s="396"/>
      <c r="J53" s="396"/>
      <c r="K53" s="396"/>
      <c r="L53" s="396"/>
      <c r="M53" s="396"/>
      <c r="N53" s="396"/>
      <c r="O53" s="396"/>
      <c r="P53" s="396"/>
      <c r="Q53" s="396"/>
      <c r="R53" s="396"/>
      <c r="S53" s="396"/>
      <c r="T53" s="396"/>
      <c r="U53" s="396"/>
      <c r="V53" s="396"/>
      <c r="W53" s="396"/>
      <c r="X53" s="396"/>
      <c r="Y53" s="396"/>
      <c r="Z53" s="396"/>
    </row>
    <row r="54" ht="12.0" customHeight="1">
      <c r="A54" s="396"/>
      <c r="B54" s="427"/>
      <c r="C54" s="427"/>
      <c r="D54" s="396"/>
      <c r="E54" s="396"/>
      <c r="F54" s="396"/>
      <c r="G54" s="396"/>
      <c r="H54" s="396"/>
      <c r="I54" s="396"/>
      <c r="J54" s="396"/>
      <c r="K54" s="396"/>
      <c r="L54" s="396"/>
      <c r="M54" s="396"/>
      <c r="N54" s="396"/>
      <c r="O54" s="396"/>
      <c r="P54" s="396"/>
      <c r="Q54" s="396"/>
      <c r="R54" s="396"/>
      <c r="S54" s="396"/>
      <c r="T54" s="396"/>
      <c r="U54" s="396"/>
      <c r="V54" s="396"/>
      <c r="W54" s="396"/>
      <c r="X54" s="396"/>
      <c r="Y54" s="396"/>
      <c r="Z54" s="396"/>
    </row>
    <row r="55" ht="12.0" customHeight="1">
      <c r="A55" s="396"/>
      <c r="B55" s="427"/>
      <c r="C55" s="427"/>
      <c r="D55" s="396"/>
      <c r="E55" s="396"/>
      <c r="F55" s="396"/>
      <c r="G55" s="396"/>
      <c r="H55" s="396"/>
      <c r="I55" s="396"/>
      <c r="J55" s="396"/>
      <c r="K55" s="396"/>
      <c r="L55" s="396"/>
      <c r="M55" s="396"/>
      <c r="N55" s="396"/>
      <c r="O55" s="396"/>
      <c r="P55" s="396"/>
      <c r="Q55" s="396"/>
      <c r="R55" s="396"/>
      <c r="S55" s="396"/>
      <c r="T55" s="396"/>
      <c r="U55" s="396"/>
      <c r="V55" s="396"/>
      <c r="W55" s="396"/>
      <c r="X55" s="396"/>
      <c r="Y55" s="396"/>
      <c r="Z55" s="396"/>
    </row>
    <row r="56" ht="12.0" customHeight="1">
      <c r="A56" s="396"/>
      <c r="B56" s="427"/>
      <c r="C56" s="427"/>
      <c r="D56" s="396"/>
      <c r="E56" s="396"/>
      <c r="F56" s="396"/>
      <c r="G56" s="396"/>
      <c r="H56" s="396"/>
      <c r="I56" s="396"/>
      <c r="J56" s="396"/>
      <c r="K56" s="396"/>
      <c r="L56" s="396"/>
      <c r="M56" s="396"/>
      <c r="N56" s="396"/>
      <c r="O56" s="396"/>
      <c r="P56" s="396"/>
      <c r="Q56" s="396"/>
      <c r="R56" s="396"/>
      <c r="S56" s="396"/>
      <c r="T56" s="396"/>
      <c r="U56" s="396"/>
      <c r="V56" s="396"/>
      <c r="W56" s="396"/>
      <c r="X56" s="396"/>
      <c r="Y56" s="396"/>
      <c r="Z56" s="396"/>
    </row>
    <row r="57" ht="12.0" customHeight="1">
      <c r="A57" s="396"/>
      <c r="B57" s="427"/>
      <c r="C57" s="427"/>
      <c r="D57" s="396"/>
      <c r="E57" s="396"/>
      <c r="F57" s="396"/>
      <c r="G57" s="396"/>
      <c r="H57" s="396"/>
      <c r="I57" s="396"/>
      <c r="J57" s="396"/>
      <c r="K57" s="396"/>
      <c r="L57" s="396"/>
      <c r="M57" s="396"/>
      <c r="N57" s="396"/>
      <c r="O57" s="396"/>
      <c r="P57" s="396"/>
      <c r="Q57" s="396"/>
      <c r="R57" s="396"/>
      <c r="S57" s="396"/>
      <c r="T57" s="396"/>
      <c r="U57" s="396"/>
      <c r="V57" s="396"/>
      <c r="W57" s="396"/>
      <c r="X57" s="396"/>
      <c r="Y57" s="396"/>
      <c r="Z57" s="396"/>
    </row>
    <row r="58" ht="12.0" customHeight="1">
      <c r="A58" s="396"/>
      <c r="B58" s="427"/>
      <c r="C58" s="427"/>
      <c r="D58" s="396"/>
      <c r="E58" s="396"/>
      <c r="F58" s="396"/>
      <c r="G58" s="396"/>
      <c r="H58" s="396"/>
      <c r="I58" s="396"/>
      <c r="J58" s="396"/>
      <c r="K58" s="396"/>
      <c r="L58" s="396"/>
      <c r="M58" s="396"/>
      <c r="N58" s="396"/>
      <c r="O58" s="396"/>
      <c r="P58" s="396"/>
      <c r="Q58" s="396"/>
      <c r="R58" s="396"/>
      <c r="S58" s="396"/>
      <c r="T58" s="396"/>
      <c r="U58" s="396"/>
      <c r="V58" s="396"/>
      <c r="W58" s="396"/>
      <c r="X58" s="396"/>
      <c r="Y58" s="396"/>
      <c r="Z58" s="396"/>
    </row>
    <row r="59" ht="12.0" customHeight="1">
      <c r="A59" s="396"/>
      <c r="B59" s="427"/>
      <c r="C59" s="427"/>
      <c r="D59" s="396"/>
      <c r="E59" s="396"/>
      <c r="F59" s="396"/>
      <c r="G59" s="396"/>
      <c r="H59" s="396"/>
      <c r="I59" s="396"/>
      <c r="J59" s="396"/>
      <c r="K59" s="396"/>
      <c r="L59" s="396"/>
      <c r="M59" s="396"/>
      <c r="N59" s="396"/>
      <c r="O59" s="396"/>
      <c r="P59" s="396"/>
      <c r="Q59" s="396"/>
      <c r="R59" s="396"/>
      <c r="S59" s="396"/>
      <c r="T59" s="396"/>
      <c r="U59" s="396"/>
      <c r="V59" s="396"/>
      <c r="W59" s="396"/>
      <c r="X59" s="396"/>
      <c r="Y59" s="396"/>
      <c r="Z59" s="396"/>
    </row>
    <row r="60" ht="12.0" customHeight="1">
      <c r="A60" s="396"/>
      <c r="B60" s="427"/>
      <c r="C60" s="427"/>
      <c r="D60" s="396"/>
      <c r="E60" s="396"/>
      <c r="F60" s="396"/>
      <c r="G60" s="396"/>
      <c r="H60" s="396"/>
      <c r="I60" s="396"/>
      <c r="J60" s="396"/>
      <c r="K60" s="396"/>
      <c r="L60" s="396"/>
      <c r="M60" s="396"/>
      <c r="N60" s="396"/>
      <c r="O60" s="396"/>
      <c r="P60" s="396"/>
      <c r="Q60" s="396"/>
      <c r="R60" s="396"/>
      <c r="S60" s="396"/>
      <c r="T60" s="396"/>
      <c r="U60" s="396"/>
      <c r="V60" s="396"/>
      <c r="W60" s="396"/>
      <c r="X60" s="396"/>
      <c r="Y60" s="396"/>
      <c r="Z60" s="396"/>
    </row>
    <row r="61" ht="12.0" customHeight="1">
      <c r="A61" s="396"/>
      <c r="B61" s="427"/>
      <c r="C61" s="427"/>
      <c r="D61" s="396"/>
      <c r="E61" s="396"/>
      <c r="F61" s="396"/>
      <c r="G61" s="396"/>
      <c r="H61" s="396"/>
      <c r="I61" s="396"/>
      <c r="J61" s="396"/>
      <c r="K61" s="396"/>
      <c r="L61" s="396"/>
      <c r="M61" s="396"/>
      <c r="N61" s="396"/>
      <c r="O61" s="396"/>
      <c r="P61" s="396"/>
      <c r="Q61" s="396"/>
      <c r="R61" s="396"/>
      <c r="S61" s="396"/>
      <c r="T61" s="396"/>
      <c r="U61" s="396"/>
      <c r="V61" s="396"/>
      <c r="W61" s="396"/>
      <c r="X61" s="396"/>
      <c r="Y61" s="396"/>
      <c r="Z61" s="396"/>
    </row>
    <row r="62" ht="12.0" customHeight="1">
      <c r="A62" s="396"/>
      <c r="B62" s="427"/>
      <c r="C62" s="427"/>
      <c r="D62" s="396"/>
      <c r="E62" s="396"/>
      <c r="F62" s="396"/>
      <c r="G62" s="396"/>
      <c r="H62" s="396"/>
      <c r="I62" s="396"/>
      <c r="J62" s="396"/>
      <c r="K62" s="396"/>
      <c r="L62" s="396"/>
      <c r="M62" s="396"/>
      <c r="N62" s="396"/>
      <c r="O62" s="396"/>
      <c r="P62" s="396"/>
      <c r="Q62" s="396"/>
      <c r="R62" s="396"/>
      <c r="S62" s="396"/>
      <c r="T62" s="396"/>
      <c r="U62" s="396"/>
      <c r="V62" s="396"/>
      <c r="W62" s="396"/>
      <c r="X62" s="396"/>
      <c r="Y62" s="396"/>
      <c r="Z62" s="396"/>
    </row>
    <row r="63" ht="12.0" customHeight="1">
      <c r="A63" s="396"/>
      <c r="B63" s="427"/>
      <c r="C63" s="427"/>
      <c r="D63" s="396"/>
      <c r="E63" s="396"/>
      <c r="F63" s="396"/>
      <c r="G63" s="396"/>
      <c r="H63" s="396"/>
      <c r="I63" s="396"/>
      <c r="J63" s="396"/>
      <c r="K63" s="396"/>
      <c r="L63" s="396"/>
      <c r="M63" s="396"/>
      <c r="N63" s="396"/>
      <c r="O63" s="396"/>
      <c r="P63" s="396"/>
      <c r="Q63" s="396"/>
      <c r="R63" s="396"/>
      <c r="S63" s="396"/>
      <c r="T63" s="396"/>
      <c r="U63" s="396"/>
      <c r="V63" s="396"/>
      <c r="W63" s="396"/>
      <c r="X63" s="396"/>
      <c r="Y63" s="396"/>
      <c r="Z63" s="396"/>
    </row>
    <row r="64" ht="12.0" customHeight="1">
      <c r="A64" s="396"/>
      <c r="B64" s="427"/>
      <c r="C64" s="427"/>
      <c r="D64" s="396"/>
      <c r="E64" s="396"/>
      <c r="F64" s="396"/>
      <c r="G64" s="396"/>
      <c r="H64" s="396"/>
      <c r="I64" s="396"/>
      <c r="J64" s="396"/>
      <c r="K64" s="396"/>
      <c r="L64" s="396"/>
      <c r="M64" s="396"/>
      <c r="N64" s="396"/>
      <c r="O64" s="396"/>
      <c r="P64" s="396"/>
      <c r="Q64" s="396"/>
      <c r="R64" s="396"/>
      <c r="S64" s="396"/>
      <c r="T64" s="396"/>
      <c r="U64" s="396"/>
      <c r="V64" s="396"/>
      <c r="W64" s="396"/>
      <c r="X64" s="396"/>
      <c r="Y64" s="396"/>
      <c r="Z64" s="396"/>
    </row>
    <row r="65" ht="12.0" customHeight="1">
      <c r="A65" s="396"/>
      <c r="B65" s="427"/>
      <c r="C65" s="427"/>
      <c r="D65" s="396"/>
      <c r="E65" s="396"/>
      <c r="F65" s="396"/>
      <c r="G65" s="396"/>
      <c r="H65" s="396"/>
      <c r="I65" s="396"/>
      <c r="J65" s="396"/>
      <c r="K65" s="396"/>
      <c r="L65" s="396"/>
      <c r="M65" s="396"/>
      <c r="N65" s="396"/>
      <c r="O65" s="396"/>
      <c r="P65" s="396"/>
      <c r="Q65" s="396"/>
      <c r="R65" s="396"/>
      <c r="S65" s="396"/>
      <c r="T65" s="396"/>
      <c r="U65" s="396"/>
      <c r="V65" s="396"/>
      <c r="W65" s="396"/>
      <c r="X65" s="396"/>
      <c r="Y65" s="396"/>
      <c r="Z65" s="396"/>
    </row>
    <row r="66" ht="12.0" customHeight="1">
      <c r="A66" s="396"/>
      <c r="B66" s="427"/>
      <c r="C66" s="427"/>
      <c r="D66" s="396"/>
      <c r="E66" s="396"/>
      <c r="F66" s="396"/>
      <c r="G66" s="396"/>
      <c r="H66" s="396"/>
      <c r="I66" s="396"/>
      <c r="J66" s="396"/>
      <c r="K66" s="396"/>
      <c r="L66" s="396"/>
      <c r="M66" s="396"/>
      <c r="N66" s="396"/>
      <c r="O66" s="396"/>
      <c r="P66" s="396"/>
      <c r="Q66" s="396"/>
      <c r="R66" s="396"/>
      <c r="S66" s="396"/>
      <c r="T66" s="396"/>
      <c r="U66" s="396"/>
      <c r="V66" s="396"/>
      <c r="W66" s="396"/>
      <c r="X66" s="396"/>
      <c r="Y66" s="396"/>
      <c r="Z66" s="396"/>
    </row>
    <row r="67" ht="12.0" customHeight="1">
      <c r="A67" s="396"/>
      <c r="B67" s="427"/>
      <c r="C67" s="427"/>
      <c r="D67" s="396"/>
      <c r="E67" s="396"/>
      <c r="F67" s="396"/>
      <c r="G67" s="396"/>
      <c r="H67" s="396"/>
      <c r="I67" s="396"/>
      <c r="J67" s="396"/>
      <c r="K67" s="396"/>
      <c r="L67" s="396"/>
      <c r="M67" s="396"/>
      <c r="N67" s="396"/>
      <c r="O67" s="396"/>
      <c r="P67" s="396"/>
      <c r="Q67" s="396"/>
      <c r="R67" s="396"/>
      <c r="S67" s="396"/>
      <c r="T67" s="396"/>
      <c r="U67" s="396"/>
      <c r="V67" s="396"/>
      <c r="W67" s="396"/>
      <c r="X67" s="396"/>
      <c r="Y67" s="396"/>
      <c r="Z67" s="396"/>
    </row>
    <row r="68" ht="12.0" customHeight="1">
      <c r="A68" s="396"/>
      <c r="B68" s="427"/>
      <c r="C68" s="427"/>
      <c r="D68" s="396"/>
      <c r="E68" s="396"/>
      <c r="F68" s="396"/>
      <c r="G68" s="396"/>
      <c r="H68" s="396"/>
      <c r="I68" s="396"/>
      <c r="J68" s="396"/>
      <c r="K68" s="396"/>
      <c r="L68" s="396"/>
      <c r="M68" s="396"/>
      <c r="N68" s="396"/>
      <c r="O68" s="396"/>
      <c r="P68" s="396"/>
      <c r="Q68" s="396"/>
      <c r="R68" s="396"/>
      <c r="S68" s="396"/>
      <c r="T68" s="396"/>
      <c r="U68" s="396"/>
      <c r="V68" s="396"/>
      <c r="W68" s="396"/>
      <c r="X68" s="396"/>
      <c r="Y68" s="396"/>
      <c r="Z68" s="396"/>
    </row>
    <row r="69" ht="12.0" customHeight="1">
      <c r="A69" s="396"/>
      <c r="B69" s="427"/>
      <c r="C69" s="427"/>
      <c r="D69" s="396"/>
      <c r="E69" s="396"/>
      <c r="F69" s="396"/>
      <c r="G69" s="396"/>
      <c r="H69" s="396"/>
      <c r="I69" s="396"/>
      <c r="J69" s="396"/>
      <c r="K69" s="396"/>
      <c r="L69" s="396"/>
      <c r="M69" s="396"/>
      <c r="N69" s="396"/>
      <c r="O69" s="396"/>
      <c r="P69" s="396"/>
      <c r="Q69" s="396"/>
      <c r="R69" s="396"/>
      <c r="S69" s="396"/>
      <c r="T69" s="396"/>
      <c r="U69" s="396"/>
      <c r="V69" s="396"/>
      <c r="W69" s="396"/>
      <c r="X69" s="396"/>
      <c r="Y69" s="396"/>
      <c r="Z69" s="396"/>
    </row>
    <row r="70" ht="12.0" customHeight="1">
      <c r="A70" s="396"/>
      <c r="B70" s="427"/>
      <c r="C70" s="427"/>
      <c r="D70" s="396"/>
      <c r="E70" s="396"/>
      <c r="F70" s="396"/>
      <c r="G70" s="396"/>
      <c r="H70" s="396"/>
      <c r="I70" s="396"/>
      <c r="J70" s="396"/>
      <c r="K70" s="396"/>
      <c r="L70" s="396"/>
      <c r="M70" s="396"/>
      <c r="N70" s="396"/>
      <c r="O70" s="396"/>
      <c r="P70" s="396"/>
      <c r="Q70" s="396"/>
      <c r="R70" s="396"/>
      <c r="S70" s="396"/>
      <c r="T70" s="396"/>
      <c r="U70" s="396"/>
      <c r="V70" s="396"/>
      <c r="W70" s="396"/>
      <c r="X70" s="396"/>
      <c r="Y70" s="396"/>
      <c r="Z70" s="396"/>
    </row>
    <row r="71" ht="12.0" customHeight="1">
      <c r="A71" s="396"/>
      <c r="B71" s="427"/>
      <c r="C71" s="427"/>
      <c r="D71" s="396"/>
      <c r="E71" s="396"/>
      <c r="F71" s="396"/>
      <c r="G71" s="396"/>
      <c r="H71" s="396"/>
      <c r="I71" s="396"/>
      <c r="J71" s="396"/>
      <c r="K71" s="396"/>
      <c r="L71" s="396"/>
      <c r="M71" s="396"/>
      <c r="N71" s="396"/>
      <c r="O71" s="396"/>
      <c r="P71" s="396"/>
      <c r="Q71" s="396"/>
      <c r="R71" s="396"/>
      <c r="S71" s="396"/>
      <c r="T71" s="396"/>
      <c r="U71" s="396"/>
      <c r="V71" s="396"/>
      <c r="W71" s="396"/>
      <c r="X71" s="396"/>
      <c r="Y71" s="396"/>
      <c r="Z71" s="396"/>
    </row>
    <row r="72" ht="12.0" customHeight="1">
      <c r="A72" s="396"/>
      <c r="B72" s="427"/>
      <c r="C72" s="427"/>
      <c r="D72" s="396"/>
      <c r="E72" s="396"/>
      <c r="F72" s="396"/>
      <c r="G72" s="396"/>
      <c r="H72" s="396"/>
      <c r="I72" s="396"/>
      <c r="J72" s="396"/>
      <c r="K72" s="396"/>
      <c r="L72" s="396"/>
      <c r="M72" s="396"/>
      <c r="N72" s="396"/>
      <c r="O72" s="396"/>
      <c r="P72" s="396"/>
      <c r="Q72" s="396"/>
      <c r="R72" s="396"/>
      <c r="S72" s="396"/>
      <c r="T72" s="396"/>
      <c r="U72" s="396"/>
      <c r="V72" s="396"/>
      <c r="W72" s="396"/>
      <c r="X72" s="396"/>
      <c r="Y72" s="396"/>
      <c r="Z72" s="396"/>
    </row>
    <row r="73" ht="12.0" customHeight="1">
      <c r="A73" s="396"/>
      <c r="B73" s="427"/>
      <c r="C73" s="427"/>
      <c r="D73" s="396"/>
      <c r="E73" s="396"/>
      <c r="F73" s="396"/>
      <c r="G73" s="396"/>
      <c r="H73" s="396"/>
      <c r="I73" s="396"/>
      <c r="J73" s="396"/>
      <c r="K73" s="396"/>
      <c r="L73" s="396"/>
      <c r="M73" s="396"/>
      <c r="N73" s="396"/>
      <c r="O73" s="396"/>
      <c r="P73" s="396"/>
      <c r="Q73" s="396"/>
      <c r="R73" s="396"/>
      <c r="S73" s="396"/>
      <c r="T73" s="396"/>
      <c r="U73" s="396"/>
      <c r="V73" s="396"/>
      <c r="W73" s="396"/>
      <c r="X73" s="396"/>
      <c r="Y73" s="396"/>
      <c r="Z73" s="396"/>
    </row>
    <row r="74" ht="12.0" customHeight="1">
      <c r="A74" s="396"/>
      <c r="B74" s="427"/>
      <c r="C74" s="427"/>
      <c r="D74" s="396"/>
      <c r="E74" s="396"/>
      <c r="F74" s="396"/>
      <c r="G74" s="396"/>
      <c r="H74" s="396"/>
      <c r="I74" s="396"/>
      <c r="J74" s="396"/>
      <c r="K74" s="396"/>
      <c r="L74" s="396"/>
      <c r="M74" s="396"/>
      <c r="N74" s="396"/>
      <c r="O74" s="396"/>
      <c r="P74" s="396"/>
      <c r="Q74" s="396"/>
      <c r="R74" s="396"/>
      <c r="S74" s="396"/>
      <c r="T74" s="396"/>
      <c r="U74" s="396"/>
      <c r="V74" s="396"/>
      <c r="W74" s="396"/>
      <c r="X74" s="396"/>
      <c r="Y74" s="396"/>
      <c r="Z74" s="396"/>
    </row>
    <row r="75" ht="12.0" customHeight="1">
      <c r="A75" s="396"/>
      <c r="B75" s="427"/>
      <c r="C75" s="427"/>
      <c r="D75" s="396"/>
      <c r="E75" s="396"/>
      <c r="F75" s="396"/>
      <c r="G75" s="396"/>
      <c r="H75" s="396"/>
      <c r="I75" s="396"/>
      <c r="J75" s="396"/>
      <c r="K75" s="396"/>
      <c r="L75" s="396"/>
      <c r="M75" s="396"/>
      <c r="N75" s="396"/>
      <c r="O75" s="396"/>
      <c r="P75" s="396"/>
      <c r="Q75" s="396"/>
      <c r="R75" s="396"/>
      <c r="S75" s="396"/>
      <c r="T75" s="396"/>
      <c r="U75" s="396"/>
      <c r="V75" s="396"/>
      <c r="W75" s="396"/>
      <c r="X75" s="396"/>
      <c r="Y75" s="396"/>
      <c r="Z75" s="396"/>
    </row>
    <row r="76" ht="12.0" customHeight="1">
      <c r="A76" s="396"/>
      <c r="B76" s="427"/>
      <c r="C76" s="427"/>
      <c r="D76" s="396"/>
      <c r="E76" s="396"/>
      <c r="F76" s="396"/>
      <c r="G76" s="396"/>
      <c r="H76" s="396"/>
      <c r="I76" s="396"/>
      <c r="J76" s="396"/>
      <c r="K76" s="396"/>
      <c r="L76" s="396"/>
      <c r="M76" s="396"/>
      <c r="N76" s="396"/>
      <c r="O76" s="396"/>
      <c r="P76" s="396"/>
      <c r="Q76" s="396"/>
      <c r="R76" s="396"/>
      <c r="S76" s="396"/>
      <c r="T76" s="396"/>
      <c r="U76" s="396"/>
      <c r="V76" s="396"/>
      <c r="W76" s="396"/>
      <c r="X76" s="396"/>
      <c r="Y76" s="396"/>
      <c r="Z76" s="396"/>
    </row>
    <row r="77" ht="12.0" customHeight="1">
      <c r="A77" s="396"/>
      <c r="B77" s="427"/>
      <c r="C77" s="427"/>
      <c r="D77" s="396"/>
      <c r="E77" s="396"/>
      <c r="F77" s="396"/>
      <c r="G77" s="396"/>
      <c r="H77" s="396"/>
      <c r="I77" s="396"/>
      <c r="J77" s="396"/>
      <c r="K77" s="396"/>
      <c r="L77" s="396"/>
      <c r="M77" s="396"/>
      <c r="N77" s="396"/>
      <c r="O77" s="396"/>
      <c r="P77" s="396"/>
      <c r="Q77" s="396"/>
      <c r="R77" s="396"/>
      <c r="S77" s="396"/>
      <c r="T77" s="396"/>
      <c r="U77" s="396"/>
      <c r="V77" s="396"/>
      <c r="W77" s="396"/>
      <c r="X77" s="396"/>
      <c r="Y77" s="396"/>
      <c r="Z77" s="396"/>
    </row>
    <row r="78" ht="12.0" customHeight="1">
      <c r="A78" s="396"/>
      <c r="B78" s="427"/>
      <c r="C78" s="427"/>
      <c r="D78" s="396"/>
      <c r="E78" s="396"/>
      <c r="F78" s="396"/>
      <c r="G78" s="396"/>
      <c r="H78" s="396"/>
      <c r="I78" s="396"/>
      <c r="J78" s="396"/>
      <c r="K78" s="396"/>
      <c r="L78" s="396"/>
      <c r="M78" s="396"/>
      <c r="N78" s="396"/>
      <c r="O78" s="396"/>
      <c r="P78" s="396"/>
      <c r="Q78" s="396"/>
      <c r="R78" s="396"/>
      <c r="S78" s="396"/>
      <c r="T78" s="396"/>
      <c r="U78" s="396"/>
      <c r="V78" s="396"/>
      <c r="W78" s="396"/>
      <c r="X78" s="396"/>
      <c r="Y78" s="396"/>
      <c r="Z78" s="396"/>
    </row>
    <row r="79" ht="12.0" customHeight="1">
      <c r="A79" s="396"/>
      <c r="B79" s="427"/>
      <c r="C79" s="427"/>
      <c r="D79" s="396"/>
      <c r="E79" s="396"/>
      <c r="F79" s="396"/>
      <c r="G79" s="396"/>
      <c r="H79" s="396"/>
      <c r="I79" s="396"/>
      <c r="J79" s="396"/>
      <c r="K79" s="396"/>
      <c r="L79" s="396"/>
      <c r="M79" s="396"/>
      <c r="N79" s="396"/>
      <c r="O79" s="396"/>
      <c r="P79" s="396"/>
      <c r="Q79" s="396"/>
      <c r="R79" s="396"/>
      <c r="S79" s="396"/>
      <c r="T79" s="396"/>
      <c r="U79" s="396"/>
      <c r="V79" s="396"/>
      <c r="W79" s="396"/>
      <c r="X79" s="396"/>
      <c r="Y79" s="396"/>
      <c r="Z79" s="396"/>
    </row>
    <row r="80" ht="12.0" customHeight="1">
      <c r="A80" s="396"/>
      <c r="B80" s="427"/>
      <c r="C80" s="427"/>
      <c r="D80" s="396"/>
      <c r="E80" s="396"/>
      <c r="F80" s="396"/>
      <c r="G80" s="396"/>
      <c r="H80" s="396"/>
      <c r="I80" s="396"/>
      <c r="J80" s="396"/>
      <c r="K80" s="396"/>
      <c r="L80" s="396"/>
      <c r="M80" s="396"/>
      <c r="N80" s="396"/>
      <c r="O80" s="396"/>
      <c r="P80" s="396"/>
      <c r="Q80" s="396"/>
      <c r="R80" s="396"/>
      <c r="S80" s="396"/>
      <c r="T80" s="396"/>
      <c r="U80" s="396"/>
      <c r="V80" s="396"/>
      <c r="W80" s="396"/>
      <c r="X80" s="396"/>
      <c r="Y80" s="396"/>
      <c r="Z80" s="396"/>
    </row>
    <row r="81" ht="12.0" customHeight="1">
      <c r="A81" s="396"/>
      <c r="B81" s="427"/>
      <c r="C81" s="427"/>
      <c r="D81" s="396"/>
      <c r="E81" s="396"/>
      <c r="F81" s="396"/>
      <c r="G81" s="396"/>
      <c r="H81" s="396"/>
      <c r="I81" s="396"/>
      <c r="J81" s="396"/>
      <c r="K81" s="396"/>
      <c r="L81" s="396"/>
      <c r="M81" s="396"/>
      <c r="N81" s="396"/>
      <c r="O81" s="396"/>
      <c r="P81" s="396"/>
      <c r="Q81" s="396"/>
      <c r="R81" s="396"/>
      <c r="S81" s="396"/>
      <c r="T81" s="396"/>
      <c r="U81" s="396"/>
      <c r="V81" s="396"/>
      <c r="W81" s="396"/>
      <c r="X81" s="396"/>
      <c r="Y81" s="396"/>
      <c r="Z81" s="396"/>
    </row>
    <row r="82" ht="12.0" customHeight="1">
      <c r="A82" s="396"/>
      <c r="B82" s="427"/>
      <c r="C82" s="427"/>
      <c r="D82" s="396"/>
      <c r="E82" s="396"/>
      <c r="F82" s="396"/>
      <c r="G82" s="396"/>
      <c r="H82" s="396"/>
      <c r="I82" s="396"/>
      <c r="J82" s="396"/>
      <c r="K82" s="396"/>
      <c r="L82" s="396"/>
      <c r="M82" s="396"/>
      <c r="N82" s="396"/>
      <c r="O82" s="396"/>
      <c r="P82" s="396"/>
      <c r="Q82" s="396"/>
      <c r="R82" s="396"/>
      <c r="S82" s="396"/>
      <c r="T82" s="396"/>
      <c r="U82" s="396"/>
      <c r="V82" s="396"/>
      <c r="W82" s="396"/>
      <c r="X82" s="396"/>
      <c r="Y82" s="396"/>
      <c r="Z82" s="396"/>
    </row>
    <row r="83" ht="12.0" customHeight="1">
      <c r="A83" s="396"/>
      <c r="B83" s="427"/>
      <c r="C83" s="427"/>
      <c r="D83" s="396"/>
      <c r="E83" s="396"/>
      <c r="F83" s="396"/>
      <c r="G83" s="396"/>
      <c r="H83" s="396"/>
      <c r="I83" s="396"/>
      <c r="J83" s="396"/>
      <c r="K83" s="396"/>
      <c r="L83" s="396"/>
      <c r="M83" s="396"/>
      <c r="N83" s="396"/>
      <c r="O83" s="396"/>
      <c r="P83" s="396"/>
      <c r="Q83" s="396"/>
      <c r="R83" s="396"/>
      <c r="S83" s="396"/>
      <c r="T83" s="396"/>
      <c r="U83" s="396"/>
      <c r="V83" s="396"/>
      <c r="W83" s="396"/>
      <c r="X83" s="396"/>
      <c r="Y83" s="396"/>
      <c r="Z83" s="396"/>
    </row>
    <row r="84" ht="12.0" customHeight="1">
      <c r="A84" s="396"/>
      <c r="B84" s="427"/>
      <c r="C84" s="427"/>
      <c r="D84" s="396"/>
      <c r="E84" s="396"/>
      <c r="F84" s="396"/>
      <c r="G84" s="396"/>
      <c r="H84" s="396"/>
      <c r="I84" s="396"/>
      <c r="J84" s="396"/>
      <c r="K84" s="396"/>
      <c r="L84" s="396"/>
      <c r="M84" s="396"/>
      <c r="N84" s="396"/>
      <c r="O84" s="396"/>
      <c r="P84" s="396"/>
      <c r="Q84" s="396"/>
      <c r="R84" s="396"/>
      <c r="S84" s="396"/>
      <c r="T84" s="396"/>
      <c r="U84" s="396"/>
      <c r="V84" s="396"/>
      <c r="W84" s="396"/>
      <c r="X84" s="396"/>
      <c r="Y84" s="396"/>
      <c r="Z84" s="396"/>
    </row>
    <row r="85" ht="12.0" customHeight="1">
      <c r="A85" s="396"/>
      <c r="B85" s="427"/>
      <c r="C85" s="427"/>
      <c r="D85" s="396"/>
      <c r="E85" s="396"/>
      <c r="F85" s="396"/>
      <c r="G85" s="396"/>
      <c r="H85" s="396"/>
      <c r="I85" s="396"/>
      <c r="J85" s="396"/>
      <c r="K85" s="396"/>
      <c r="L85" s="396"/>
      <c r="M85" s="396"/>
      <c r="N85" s="396"/>
      <c r="O85" s="396"/>
      <c r="P85" s="396"/>
      <c r="Q85" s="396"/>
      <c r="R85" s="396"/>
      <c r="S85" s="396"/>
      <c r="T85" s="396"/>
      <c r="U85" s="396"/>
      <c r="V85" s="396"/>
      <c r="W85" s="396"/>
      <c r="X85" s="396"/>
      <c r="Y85" s="396"/>
      <c r="Z85" s="396"/>
    </row>
    <row r="86" ht="12.0" customHeight="1">
      <c r="A86" s="396"/>
      <c r="B86" s="427"/>
      <c r="C86" s="427"/>
      <c r="D86" s="396"/>
      <c r="E86" s="396"/>
      <c r="F86" s="396"/>
      <c r="G86" s="396"/>
      <c r="H86" s="396"/>
      <c r="I86" s="396"/>
      <c r="J86" s="396"/>
      <c r="K86" s="396"/>
      <c r="L86" s="396"/>
      <c r="M86" s="396"/>
      <c r="N86" s="396"/>
      <c r="O86" s="396"/>
      <c r="P86" s="396"/>
      <c r="Q86" s="396"/>
      <c r="R86" s="396"/>
      <c r="S86" s="396"/>
      <c r="T86" s="396"/>
      <c r="U86" s="396"/>
      <c r="V86" s="396"/>
      <c r="W86" s="396"/>
      <c r="X86" s="396"/>
      <c r="Y86" s="396"/>
      <c r="Z86" s="396"/>
    </row>
    <row r="87" ht="12.0" customHeight="1">
      <c r="A87" s="396"/>
      <c r="B87" s="427"/>
      <c r="C87" s="427"/>
      <c r="D87" s="396"/>
      <c r="E87" s="396"/>
      <c r="F87" s="396"/>
      <c r="G87" s="396"/>
      <c r="H87" s="396"/>
      <c r="I87" s="396"/>
      <c r="J87" s="396"/>
      <c r="K87" s="396"/>
      <c r="L87" s="396"/>
      <c r="M87" s="396"/>
      <c r="N87" s="396"/>
      <c r="O87" s="396"/>
      <c r="P87" s="396"/>
      <c r="Q87" s="396"/>
      <c r="R87" s="396"/>
      <c r="S87" s="396"/>
      <c r="T87" s="396"/>
      <c r="U87" s="396"/>
      <c r="V87" s="396"/>
      <c r="W87" s="396"/>
      <c r="X87" s="396"/>
      <c r="Y87" s="396"/>
      <c r="Z87" s="396"/>
    </row>
    <row r="88" ht="12.0" customHeight="1">
      <c r="A88" s="396"/>
      <c r="B88" s="427"/>
      <c r="C88" s="427"/>
      <c r="D88" s="396"/>
      <c r="E88" s="396"/>
      <c r="F88" s="396"/>
      <c r="G88" s="396"/>
      <c r="H88" s="396"/>
      <c r="I88" s="396"/>
      <c r="J88" s="396"/>
      <c r="K88" s="396"/>
      <c r="L88" s="396"/>
      <c r="M88" s="396"/>
      <c r="N88" s="396"/>
      <c r="O88" s="396"/>
      <c r="P88" s="396"/>
      <c r="Q88" s="396"/>
      <c r="R88" s="396"/>
      <c r="S88" s="396"/>
      <c r="T88" s="396"/>
      <c r="U88" s="396"/>
      <c r="V88" s="396"/>
      <c r="W88" s="396"/>
      <c r="X88" s="396"/>
      <c r="Y88" s="396"/>
      <c r="Z88" s="396"/>
    </row>
    <row r="89" ht="12.0" customHeight="1">
      <c r="A89" s="396"/>
      <c r="B89" s="427"/>
      <c r="C89" s="427"/>
      <c r="D89" s="396"/>
      <c r="E89" s="396"/>
      <c r="F89" s="396"/>
      <c r="G89" s="396"/>
      <c r="H89" s="396"/>
      <c r="I89" s="396"/>
      <c r="J89" s="396"/>
      <c r="K89" s="396"/>
      <c r="L89" s="396"/>
      <c r="M89" s="396"/>
      <c r="N89" s="396"/>
      <c r="O89" s="396"/>
      <c r="P89" s="396"/>
      <c r="Q89" s="396"/>
      <c r="R89" s="396"/>
      <c r="S89" s="396"/>
      <c r="T89" s="396"/>
      <c r="U89" s="396"/>
      <c r="V89" s="396"/>
      <c r="W89" s="396"/>
      <c r="X89" s="396"/>
      <c r="Y89" s="396"/>
      <c r="Z89" s="396"/>
    </row>
    <row r="90" ht="12.0" customHeight="1">
      <c r="A90" s="396"/>
      <c r="B90" s="427"/>
      <c r="C90" s="427"/>
      <c r="D90" s="396"/>
      <c r="E90" s="396"/>
      <c r="F90" s="396"/>
      <c r="G90" s="396"/>
      <c r="H90" s="396"/>
      <c r="I90" s="396"/>
      <c r="J90" s="396"/>
      <c r="K90" s="396"/>
      <c r="L90" s="396"/>
      <c r="M90" s="396"/>
      <c r="N90" s="396"/>
      <c r="O90" s="396"/>
      <c r="P90" s="396"/>
      <c r="Q90" s="396"/>
      <c r="R90" s="396"/>
      <c r="S90" s="396"/>
      <c r="T90" s="396"/>
      <c r="U90" s="396"/>
      <c r="V90" s="396"/>
      <c r="W90" s="396"/>
      <c r="X90" s="396"/>
      <c r="Y90" s="396"/>
      <c r="Z90" s="396"/>
    </row>
    <row r="91" ht="12.0" customHeight="1">
      <c r="A91" s="396"/>
      <c r="B91" s="427"/>
      <c r="C91" s="427"/>
      <c r="D91" s="396"/>
      <c r="E91" s="396"/>
      <c r="F91" s="396"/>
      <c r="G91" s="396"/>
      <c r="H91" s="396"/>
      <c r="I91" s="396"/>
      <c r="J91" s="396"/>
      <c r="K91" s="396"/>
      <c r="L91" s="396"/>
      <c r="M91" s="396"/>
      <c r="N91" s="396"/>
      <c r="O91" s="396"/>
      <c r="P91" s="396"/>
      <c r="Q91" s="396"/>
      <c r="R91" s="396"/>
      <c r="S91" s="396"/>
      <c r="T91" s="396"/>
      <c r="U91" s="396"/>
      <c r="V91" s="396"/>
      <c r="W91" s="396"/>
      <c r="X91" s="396"/>
      <c r="Y91" s="396"/>
      <c r="Z91" s="396"/>
    </row>
    <row r="92" ht="12.0" customHeight="1">
      <c r="A92" s="396"/>
      <c r="B92" s="427"/>
      <c r="C92" s="427"/>
      <c r="D92" s="396"/>
      <c r="E92" s="396"/>
      <c r="F92" s="396"/>
      <c r="G92" s="396"/>
      <c r="H92" s="396"/>
      <c r="I92" s="396"/>
      <c r="J92" s="396"/>
      <c r="K92" s="396"/>
      <c r="L92" s="396"/>
      <c r="M92" s="396"/>
      <c r="N92" s="396"/>
      <c r="O92" s="396"/>
      <c r="P92" s="396"/>
      <c r="Q92" s="396"/>
      <c r="R92" s="396"/>
      <c r="S92" s="396"/>
      <c r="T92" s="396"/>
      <c r="U92" s="396"/>
      <c r="V92" s="396"/>
      <c r="W92" s="396"/>
      <c r="X92" s="396"/>
      <c r="Y92" s="396"/>
      <c r="Z92" s="396"/>
    </row>
    <row r="93" ht="12.0" customHeight="1">
      <c r="A93" s="396"/>
      <c r="B93" s="427"/>
      <c r="C93" s="427"/>
      <c r="D93" s="396"/>
      <c r="E93" s="396"/>
      <c r="F93" s="396"/>
      <c r="G93" s="396"/>
      <c r="H93" s="396"/>
      <c r="I93" s="396"/>
      <c r="J93" s="396"/>
      <c r="K93" s="396"/>
      <c r="L93" s="396"/>
      <c r="M93" s="396"/>
      <c r="N93" s="396"/>
      <c r="O93" s="396"/>
      <c r="P93" s="396"/>
      <c r="Q93" s="396"/>
      <c r="R93" s="396"/>
      <c r="S93" s="396"/>
      <c r="T93" s="396"/>
      <c r="U93" s="396"/>
      <c r="V93" s="396"/>
      <c r="W93" s="396"/>
      <c r="X93" s="396"/>
      <c r="Y93" s="396"/>
      <c r="Z93" s="396"/>
    </row>
    <row r="94" ht="12.0" customHeight="1">
      <c r="A94" s="396"/>
      <c r="B94" s="427"/>
      <c r="C94" s="427"/>
      <c r="D94" s="396"/>
      <c r="E94" s="396"/>
      <c r="F94" s="396"/>
      <c r="G94" s="396"/>
      <c r="H94" s="396"/>
      <c r="I94" s="396"/>
      <c r="J94" s="396"/>
      <c r="K94" s="396"/>
      <c r="L94" s="396"/>
      <c r="M94" s="396"/>
      <c r="N94" s="396"/>
      <c r="O94" s="396"/>
      <c r="P94" s="396"/>
      <c r="Q94" s="396"/>
      <c r="R94" s="396"/>
      <c r="S94" s="396"/>
      <c r="T94" s="396"/>
      <c r="U94" s="396"/>
      <c r="V94" s="396"/>
      <c r="W94" s="396"/>
      <c r="X94" s="396"/>
      <c r="Y94" s="396"/>
      <c r="Z94" s="396"/>
    </row>
    <row r="95" ht="12.0" customHeight="1">
      <c r="A95" s="396"/>
      <c r="B95" s="427"/>
      <c r="C95" s="427"/>
      <c r="D95" s="396"/>
      <c r="E95" s="396"/>
      <c r="F95" s="396"/>
      <c r="G95" s="396"/>
      <c r="H95" s="396"/>
      <c r="I95" s="396"/>
      <c r="J95" s="396"/>
      <c r="K95" s="396"/>
      <c r="L95" s="396"/>
      <c r="M95" s="396"/>
      <c r="N95" s="396"/>
      <c r="O95" s="396"/>
      <c r="P95" s="396"/>
      <c r="Q95" s="396"/>
      <c r="R95" s="396"/>
      <c r="S95" s="396"/>
      <c r="T95" s="396"/>
      <c r="U95" s="396"/>
      <c r="V95" s="396"/>
      <c r="W95" s="396"/>
      <c r="X95" s="396"/>
      <c r="Y95" s="396"/>
      <c r="Z95" s="396"/>
    </row>
    <row r="96" ht="12.0" customHeight="1">
      <c r="A96" s="396"/>
      <c r="B96" s="427"/>
      <c r="C96" s="427"/>
      <c r="D96" s="396"/>
      <c r="E96" s="396"/>
      <c r="F96" s="396"/>
      <c r="G96" s="396"/>
      <c r="H96" s="396"/>
      <c r="I96" s="396"/>
      <c r="J96" s="396"/>
      <c r="K96" s="396"/>
      <c r="L96" s="396"/>
      <c r="M96" s="396"/>
      <c r="N96" s="396"/>
      <c r="O96" s="396"/>
      <c r="P96" s="396"/>
      <c r="Q96" s="396"/>
      <c r="R96" s="396"/>
      <c r="S96" s="396"/>
      <c r="T96" s="396"/>
      <c r="U96" s="396"/>
      <c r="V96" s="396"/>
      <c r="W96" s="396"/>
      <c r="X96" s="396"/>
      <c r="Y96" s="396"/>
      <c r="Z96" s="396"/>
    </row>
    <row r="97" ht="12.0" customHeight="1">
      <c r="A97" s="396"/>
      <c r="B97" s="427"/>
      <c r="C97" s="427"/>
      <c r="D97" s="396"/>
      <c r="E97" s="396"/>
      <c r="F97" s="396"/>
      <c r="G97" s="396"/>
      <c r="H97" s="396"/>
      <c r="I97" s="396"/>
      <c r="J97" s="396"/>
      <c r="K97" s="396"/>
      <c r="L97" s="396"/>
      <c r="M97" s="396"/>
      <c r="N97" s="396"/>
      <c r="O97" s="396"/>
      <c r="P97" s="396"/>
      <c r="Q97" s="396"/>
      <c r="R97" s="396"/>
      <c r="S97" s="396"/>
      <c r="T97" s="396"/>
      <c r="U97" s="396"/>
      <c r="V97" s="396"/>
      <c r="W97" s="396"/>
      <c r="X97" s="396"/>
      <c r="Y97" s="396"/>
      <c r="Z97" s="396"/>
    </row>
    <row r="98" ht="12.0" customHeight="1">
      <c r="A98" s="396"/>
      <c r="B98" s="427"/>
      <c r="C98" s="427"/>
      <c r="D98" s="396"/>
      <c r="E98" s="396"/>
      <c r="F98" s="396"/>
      <c r="G98" s="396"/>
      <c r="H98" s="396"/>
      <c r="I98" s="396"/>
      <c r="J98" s="396"/>
      <c r="K98" s="396"/>
      <c r="L98" s="396"/>
      <c r="M98" s="396"/>
      <c r="N98" s="396"/>
      <c r="O98" s="396"/>
      <c r="P98" s="396"/>
      <c r="Q98" s="396"/>
      <c r="R98" s="396"/>
      <c r="S98" s="396"/>
      <c r="T98" s="396"/>
      <c r="U98" s="396"/>
      <c r="V98" s="396"/>
      <c r="W98" s="396"/>
      <c r="X98" s="396"/>
      <c r="Y98" s="396"/>
      <c r="Z98" s="396"/>
    </row>
    <row r="99" ht="12.0" customHeight="1">
      <c r="A99" s="396"/>
      <c r="B99" s="427"/>
      <c r="C99" s="427"/>
      <c r="D99" s="396"/>
      <c r="E99" s="396"/>
      <c r="F99" s="396"/>
      <c r="G99" s="396"/>
      <c r="H99" s="396"/>
      <c r="I99" s="396"/>
      <c r="J99" s="396"/>
      <c r="K99" s="396"/>
      <c r="L99" s="396"/>
      <c r="M99" s="396"/>
      <c r="N99" s="396"/>
      <c r="O99" s="396"/>
      <c r="P99" s="396"/>
      <c r="Q99" s="396"/>
      <c r="R99" s="396"/>
      <c r="S99" s="396"/>
      <c r="T99" s="396"/>
      <c r="U99" s="396"/>
      <c r="V99" s="396"/>
      <c r="W99" s="396"/>
      <c r="X99" s="396"/>
      <c r="Y99" s="396"/>
      <c r="Z99" s="396"/>
    </row>
    <row r="100" ht="12.0" customHeight="1">
      <c r="A100" s="396"/>
      <c r="B100" s="427"/>
      <c r="C100" s="427"/>
      <c r="D100" s="396"/>
      <c r="E100" s="396"/>
      <c r="F100" s="396"/>
      <c r="G100" s="396"/>
      <c r="H100" s="396"/>
      <c r="I100" s="396"/>
      <c r="J100" s="396"/>
      <c r="K100" s="396"/>
      <c r="L100" s="396"/>
      <c r="M100" s="396"/>
      <c r="N100" s="396"/>
      <c r="O100" s="396"/>
      <c r="P100" s="396"/>
      <c r="Q100" s="396"/>
      <c r="R100" s="396"/>
      <c r="S100" s="396"/>
      <c r="T100" s="396"/>
      <c r="U100" s="396"/>
      <c r="V100" s="396"/>
      <c r="W100" s="396"/>
      <c r="X100" s="396"/>
      <c r="Y100" s="396"/>
      <c r="Z100" s="396"/>
    </row>
    <row r="101" ht="12.0" customHeight="1">
      <c r="A101" s="396"/>
      <c r="B101" s="427"/>
      <c r="C101" s="427"/>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row>
    <row r="102" ht="12.0" customHeight="1">
      <c r="A102" s="396"/>
      <c r="B102" s="427"/>
      <c r="C102" s="427"/>
      <c r="D102" s="396"/>
      <c r="E102" s="396"/>
      <c r="F102" s="396"/>
      <c r="G102" s="396"/>
      <c r="H102" s="396"/>
      <c r="I102" s="396"/>
      <c r="J102" s="396"/>
      <c r="K102" s="396"/>
      <c r="L102" s="396"/>
      <c r="M102" s="396"/>
      <c r="N102" s="396"/>
      <c r="O102" s="396"/>
      <c r="P102" s="396"/>
      <c r="Q102" s="396"/>
      <c r="R102" s="396"/>
      <c r="S102" s="396"/>
      <c r="T102" s="396"/>
      <c r="U102" s="396"/>
      <c r="V102" s="396"/>
      <c r="W102" s="396"/>
      <c r="X102" s="396"/>
      <c r="Y102" s="396"/>
      <c r="Z102" s="396"/>
    </row>
    <row r="103" ht="12.0" customHeight="1">
      <c r="A103" s="396"/>
      <c r="B103" s="427"/>
      <c r="C103" s="427"/>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row>
    <row r="104" ht="12.0" customHeight="1">
      <c r="A104" s="396"/>
      <c r="B104" s="427"/>
      <c r="C104" s="427"/>
      <c r="D104" s="396"/>
      <c r="E104" s="396"/>
      <c r="F104" s="396"/>
      <c r="G104" s="396"/>
      <c r="H104" s="396"/>
      <c r="I104" s="396"/>
      <c r="J104" s="396"/>
      <c r="K104" s="396"/>
      <c r="L104" s="396"/>
      <c r="M104" s="396"/>
      <c r="N104" s="396"/>
      <c r="O104" s="396"/>
      <c r="P104" s="396"/>
      <c r="Q104" s="396"/>
      <c r="R104" s="396"/>
      <c r="S104" s="396"/>
      <c r="T104" s="396"/>
      <c r="U104" s="396"/>
      <c r="V104" s="396"/>
      <c r="W104" s="396"/>
      <c r="X104" s="396"/>
      <c r="Y104" s="396"/>
      <c r="Z104" s="396"/>
    </row>
    <row r="105" ht="12.0" customHeight="1">
      <c r="A105" s="396"/>
      <c r="B105" s="427"/>
      <c r="C105" s="427"/>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row>
    <row r="106" ht="12.0" customHeight="1">
      <c r="A106" s="396"/>
      <c r="B106" s="427"/>
      <c r="C106" s="427"/>
      <c r="D106" s="396"/>
      <c r="E106" s="396"/>
      <c r="F106" s="396"/>
      <c r="G106" s="396"/>
      <c r="H106" s="396"/>
      <c r="I106" s="396"/>
      <c r="J106" s="396"/>
      <c r="K106" s="396"/>
      <c r="L106" s="396"/>
      <c r="M106" s="396"/>
      <c r="N106" s="396"/>
      <c r="O106" s="396"/>
      <c r="P106" s="396"/>
      <c r="Q106" s="396"/>
      <c r="R106" s="396"/>
      <c r="S106" s="396"/>
      <c r="T106" s="396"/>
      <c r="U106" s="396"/>
      <c r="V106" s="396"/>
      <c r="W106" s="396"/>
      <c r="X106" s="396"/>
      <c r="Y106" s="396"/>
      <c r="Z106" s="396"/>
    </row>
    <row r="107" ht="12.0" customHeight="1">
      <c r="A107" s="396"/>
      <c r="B107" s="427"/>
      <c r="C107" s="427"/>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row>
    <row r="108" ht="12.0" customHeight="1">
      <c r="A108" s="396"/>
      <c r="B108" s="427"/>
      <c r="C108" s="427"/>
      <c r="D108" s="396"/>
      <c r="E108" s="396"/>
      <c r="F108" s="396"/>
      <c r="G108" s="396"/>
      <c r="H108" s="396"/>
      <c r="I108" s="396"/>
      <c r="J108" s="396"/>
      <c r="K108" s="396"/>
      <c r="L108" s="396"/>
      <c r="M108" s="396"/>
      <c r="N108" s="396"/>
      <c r="O108" s="396"/>
      <c r="P108" s="396"/>
      <c r="Q108" s="396"/>
      <c r="R108" s="396"/>
      <c r="S108" s="396"/>
      <c r="T108" s="396"/>
      <c r="U108" s="396"/>
      <c r="V108" s="396"/>
      <c r="W108" s="396"/>
      <c r="X108" s="396"/>
      <c r="Y108" s="396"/>
      <c r="Z108" s="396"/>
    </row>
    <row r="109" ht="12.0" customHeight="1">
      <c r="A109" s="396"/>
      <c r="B109" s="427"/>
      <c r="C109" s="427"/>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row>
    <row r="110" ht="12.0" customHeight="1">
      <c r="A110" s="396"/>
      <c r="B110" s="427"/>
      <c r="C110" s="427"/>
      <c r="D110" s="396"/>
      <c r="E110" s="396"/>
      <c r="F110" s="396"/>
      <c r="G110" s="396"/>
      <c r="H110" s="396"/>
      <c r="I110" s="396"/>
      <c r="J110" s="396"/>
      <c r="K110" s="396"/>
      <c r="L110" s="396"/>
      <c r="M110" s="396"/>
      <c r="N110" s="396"/>
      <c r="O110" s="396"/>
      <c r="P110" s="396"/>
      <c r="Q110" s="396"/>
      <c r="R110" s="396"/>
      <c r="S110" s="396"/>
      <c r="T110" s="396"/>
      <c r="U110" s="396"/>
      <c r="V110" s="396"/>
      <c r="W110" s="396"/>
      <c r="X110" s="396"/>
      <c r="Y110" s="396"/>
      <c r="Z110" s="396"/>
    </row>
    <row r="111" ht="12.0" customHeight="1">
      <c r="A111" s="396"/>
      <c r="B111" s="427"/>
      <c r="C111" s="427"/>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row>
    <row r="112" ht="12.0" customHeight="1">
      <c r="A112" s="396"/>
      <c r="B112" s="427"/>
      <c r="C112" s="427"/>
      <c r="D112" s="396"/>
      <c r="E112" s="396"/>
      <c r="F112" s="396"/>
      <c r="G112" s="396"/>
      <c r="H112" s="396"/>
      <c r="I112" s="396"/>
      <c r="J112" s="396"/>
      <c r="K112" s="396"/>
      <c r="L112" s="396"/>
      <c r="M112" s="396"/>
      <c r="N112" s="396"/>
      <c r="O112" s="396"/>
      <c r="P112" s="396"/>
      <c r="Q112" s="396"/>
      <c r="R112" s="396"/>
      <c r="S112" s="396"/>
      <c r="T112" s="396"/>
      <c r="U112" s="396"/>
      <c r="V112" s="396"/>
      <c r="W112" s="396"/>
      <c r="X112" s="396"/>
      <c r="Y112" s="396"/>
      <c r="Z112" s="396"/>
    </row>
    <row r="113" ht="12.0" customHeight="1">
      <c r="A113" s="396"/>
      <c r="B113" s="427"/>
      <c r="C113" s="427"/>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row>
    <row r="114" ht="12.0" customHeight="1">
      <c r="A114" s="396"/>
      <c r="B114" s="427"/>
      <c r="C114" s="427"/>
      <c r="D114" s="396"/>
      <c r="E114" s="396"/>
      <c r="F114" s="396"/>
      <c r="G114" s="396"/>
      <c r="H114" s="396"/>
      <c r="I114" s="396"/>
      <c r="J114" s="396"/>
      <c r="K114" s="396"/>
      <c r="L114" s="396"/>
      <c r="M114" s="396"/>
      <c r="N114" s="396"/>
      <c r="O114" s="396"/>
      <c r="P114" s="396"/>
      <c r="Q114" s="396"/>
      <c r="R114" s="396"/>
      <c r="S114" s="396"/>
      <c r="T114" s="396"/>
      <c r="U114" s="396"/>
      <c r="V114" s="396"/>
      <c r="W114" s="396"/>
      <c r="X114" s="396"/>
      <c r="Y114" s="396"/>
      <c r="Z114" s="396"/>
    </row>
    <row r="115" ht="12.0" customHeight="1">
      <c r="A115" s="396"/>
      <c r="B115" s="427"/>
      <c r="C115" s="427"/>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row>
    <row r="116" ht="12.0" customHeight="1">
      <c r="A116" s="396"/>
      <c r="B116" s="427"/>
      <c r="C116" s="427"/>
      <c r="D116" s="396"/>
      <c r="E116" s="396"/>
      <c r="F116" s="396"/>
      <c r="G116" s="396"/>
      <c r="H116" s="396"/>
      <c r="I116" s="396"/>
      <c r="J116" s="396"/>
      <c r="K116" s="396"/>
      <c r="L116" s="396"/>
      <c r="M116" s="396"/>
      <c r="N116" s="396"/>
      <c r="O116" s="396"/>
      <c r="P116" s="396"/>
      <c r="Q116" s="396"/>
      <c r="R116" s="396"/>
      <c r="S116" s="396"/>
      <c r="T116" s="396"/>
      <c r="U116" s="396"/>
      <c r="V116" s="396"/>
      <c r="W116" s="396"/>
      <c r="X116" s="396"/>
      <c r="Y116" s="396"/>
      <c r="Z116" s="396"/>
    </row>
    <row r="117" ht="12.0" customHeight="1">
      <c r="A117" s="396"/>
      <c r="B117" s="427"/>
      <c r="C117" s="427"/>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row>
    <row r="118" ht="12.0" customHeight="1">
      <c r="A118" s="396"/>
      <c r="B118" s="427"/>
      <c r="C118" s="427"/>
      <c r="D118" s="396"/>
      <c r="E118" s="396"/>
      <c r="F118" s="396"/>
      <c r="G118" s="396"/>
      <c r="H118" s="396"/>
      <c r="I118" s="396"/>
      <c r="J118" s="396"/>
      <c r="K118" s="396"/>
      <c r="L118" s="396"/>
      <c r="M118" s="396"/>
      <c r="N118" s="396"/>
      <c r="O118" s="396"/>
      <c r="P118" s="396"/>
      <c r="Q118" s="396"/>
      <c r="R118" s="396"/>
      <c r="S118" s="396"/>
      <c r="T118" s="396"/>
      <c r="U118" s="396"/>
      <c r="V118" s="396"/>
      <c r="W118" s="396"/>
      <c r="X118" s="396"/>
      <c r="Y118" s="396"/>
      <c r="Z118" s="396"/>
    </row>
    <row r="119" ht="12.0" customHeight="1">
      <c r="A119" s="396"/>
      <c r="B119" s="427"/>
      <c r="C119" s="427"/>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row>
    <row r="120" ht="12.0" customHeight="1">
      <c r="A120" s="396"/>
      <c r="B120" s="427"/>
      <c r="C120" s="427"/>
      <c r="D120" s="396"/>
      <c r="E120" s="396"/>
      <c r="F120" s="396"/>
      <c r="G120" s="396"/>
      <c r="H120" s="396"/>
      <c r="I120" s="396"/>
      <c r="J120" s="396"/>
      <c r="K120" s="396"/>
      <c r="L120" s="396"/>
      <c r="M120" s="396"/>
      <c r="N120" s="396"/>
      <c r="O120" s="396"/>
      <c r="P120" s="396"/>
      <c r="Q120" s="396"/>
      <c r="R120" s="396"/>
      <c r="S120" s="396"/>
      <c r="T120" s="396"/>
      <c r="U120" s="396"/>
      <c r="V120" s="396"/>
      <c r="W120" s="396"/>
      <c r="X120" s="396"/>
      <c r="Y120" s="396"/>
      <c r="Z120" s="396"/>
    </row>
    <row r="121" ht="12.0" customHeight="1">
      <c r="A121" s="396"/>
      <c r="B121" s="427"/>
      <c r="C121" s="427"/>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row>
    <row r="122" ht="12.0" customHeight="1">
      <c r="A122" s="396"/>
      <c r="B122" s="427"/>
      <c r="C122" s="427"/>
      <c r="D122" s="396"/>
      <c r="E122" s="396"/>
      <c r="F122" s="396"/>
      <c r="G122" s="396"/>
      <c r="H122" s="396"/>
      <c r="I122" s="396"/>
      <c r="J122" s="396"/>
      <c r="K122" s="396"/>
      <c r="L122" s="396"/>
      <c r="M122" s="396"/>
      <c r="N122" s="396"/>
      <c r="O122" s="396"/>
      <c r="P122" s="396"/>
      <c r="Q122" s="396"/>
      <c r="R122" s="396"/>
      <c r="S122" s="396"/>
      <c r="T122" s="396"/>
      <c r="U122" s="396"/>
      <c r="V122" s="396"/>
      <c r="W122" s="396"/>
      <c r="X122" s="396"/>
      <c r="Y122" s="396"/>
      <c r="Z122" s="396"/>
    </row>
    <row r="123" ht="12.0" customHeight="1">
      <c r="A123" s="396"/>
      <c r="B123" s="427"/>
      <c r="C123" s="427"/>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row>
    <row r="124" ht="12.0" customHeight="1">
      <c r="A124" s="396"/>
      <c r="B124" s="427"/>
      <c r="C124" s="427"/>
      <c r="D124" s="396"/>
      <c r="E124" s="396"/>
      <c r="F124" s="396"/>
      <c r="G124" s="396"/>
      <c r="H124" s="396"/>
      <c r="I124" s="396"/>
      <c r="J124" s="396"/>
      <c r="K124" s="396"/>
      <c r="L124" s="396"/>
      <c r="M124" s="396"/>
      <c r="N124" s="396"/>
      <c r="O124" s="396"/>
      <c r="P124" s="396"/>
      <c r="Q124" s="396"/>
      <c r="R124" s="396"/>
      <c r="S124" s="396"/>
      <c r="T124" s="396"/>
      <c r="U124" s="396"/>
      <c r="V124" s="396"/>
      <c r="W124" s="396"/>
      <c r="X124" s="396"/>
      <c r="Y124" s="396"/>
      <c r="Z124" s="396"/>
    </row>
    <row r="125" ht="12.0" customHeight="1">
      <c r="A125" s="396"/>
      <c r="B125" s="427"/>
      <c r="C125" s="427"/>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row>
    <row r="126" ht="12.0" customHeight="1">
      <c r="A126" s="396"/>
      <c r="B126" s="427"/>
      <c r="C126" s="427"/>
      <c r="D126" s="396"/>
      <c r="E126" s="396"/>
      <c r="F126" s="396"/>
      <c r="G126" s="396"/>
      <c r="H126" s="396"/>
      <c r="I126" s="396"/>
      <c r="J126" s="396"/>
      <c r="K126" s="396"/>
      <c r="L126" s="396"/>
      <c r="M126" s="396"/>
      <c r="N126" s="396"/>
      <c r="O126" s="396"/>
      <c r="P126" s="396"/>
      <c r="Q126" s="396"/>
      <c r="R126" s="396"/>
      <c r="S126" s="396"/>
      <c r="T126" s="396"/>
      <c r="U126" s="396"/>
      <c r="V126" s="396"/>
      <c r="W126" s="396"/>
      <c r="X126" s="396"/>
      <c r="Y126" s="396"/>
      <c r="Z126" s="396"/>
    </row>
    <row r="127" ht="12.0" customHeight="1">
      <c r="A127" s="396"/>
      <c r="B127" s="427"/>
      <c r="C127" s="427"/>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row>
    <row r="128" ht="12.0" customHeight="1">
      <c r="A128" s="396"/>
      <c r="B128" s="427"/>
      <c r="C128" s="427"/>
      <c r="D128" s="396"/>
      <c r="E128" s="396"/>
      <c r="F128" s="396"/>
      <c r="G128" s="396"/>
      <c r="H128" s="396"/>
      <c r="I128" s="396"/>
      <c r="J128" s="396"/>
      <c r="K128" s="396"/>
      <c r="L128" s="396"/>
      <c r="M128" s="396"/>
      <c r="N128" s="396"/>
      <c r="O128" s="396"/>
      <c r="P128" s="396"/>
      <c r="Q128" s="396"/>
      <c r="R128" s="396"/>
      <c r="S128" s="396"/>
      <c r="T128" s="396"/>
      <c r="U128" s="396"/>
      <c r="V128" s="396"/>
      <c r="W128" s="396"/>
      <c r="X128" s="396"/>
      <c r="Y128" s="396"/>
      <c r="Z128" s="396"/>
    </row>
    <row r="129" ht="12.0" customHeight="1">
      <c r="A129" s="396"/>
      <c r="B129" s="427"/>
      <c r="C129" s="427"/>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row>
    <row r="130" ht="12.0" customHeight="1">
      <c r="A130" s="396"/>
      <c r="B130" s="427"/>
      <c r="C130" s="427"/>
      <c r="D130" s="396"/>
      <c r="E130" s="396"/>
      <c r="F130" s="396"/>
      <c r="G130" s="396"/>
      <c r="H130" s="396"/>
      <c r="I130" s="396"/>
      <c r="J130" s="396"/>
      <c r="K130" s="396"/>
      <c r="L130" s="396"/>
      <c r="M130" s="396"/>
      <c r="N130" s="396"/>
      <c r="O130" s="396"/>
      <c r="P130" s="396"/>
      <c r="Q130" s="396"/>
      <c r="R130" s="396"/>
      <c r="S130" s="396"/>
      <c r="T130" s="396"/>
      <c r="U130" s="396"/>
      <c r="V130" s="396"/>
      <c r="W130" s="396"/>
      <c r="X130" s="396"/>
      <c r="Y130" s="396"/>
      <c r="Z130" s="396"/>
    </row>
    <row r="131" ht="12.0" customHeight="1">
      <c r="A131" s="396"/>
      <c r="B131" s="427"/>
      <c r="C131" s="427"/>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row>
    <row r="132" ht="12.0" customHeight="1">
      <c r="A132" s="396"/>
      <c r="B132" s="427"/>
      <c r="C132" s="427"/>
      <c r="D132" s="396"/>
      <c r="E132" s="396"/>
      <c r="F132" s="396"/>
      <c r="G132" s="396"/>
      <c r="H132" s="396"/>
      <c r="I132" s="396"/>
      <c r="J132" s="396"/>
      <c r="K132" s="396"/>
      <c r="L132" s="396"/>
      <c r="M132" s="396"/>
      <c r="N132" s="396"/>
      <c r="O132" s="396"/>
      <c r="P132" s="396"/>
      <c r="Q132" s="396"/>
      <c r="R132" s="396"/>
      <c r="S132" s="396"/>
      <c r="T132" s="396"/>
      <c r="U132" s="396"/>
      <c r="V132" s="396"/>
      <c r="W132" s="396"/>
      <c r="X132" s="396"/>
      <c r="Y132" s="396"/>
      <c r="Z132" s="396"/>
    </row>
    <row r="133" ht="12.0" customHeight="1">
      <c r="A133" s="396"/>
      <c r="B133" s="427"/>
      <c r="C133" s="427"/>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row>
    <row r="134" ht="12.0" customHeight="1">
      <c r="A134" s="396"/>
      <c r="B134" s="427"/>
      <c r="C134" s="427"/>
      <c r="D134" s="396"/>
      <c r="E134" s="396"/>
      <c r="F134" s="396"/>
      <c r="G134" s="396"/>
      <c r="H134" s="396"/>
      <c r="I134" s="396"/>
      <c r="J134" s="396"/>
      <c r="K134" s="396"/>
      <c r="L134" s="396"/>
      <c r="M134" s="396"/>
      <c r="N134" s="396"/>
      <c r="O134" s="396"/>
      <c r="P134" s="396"/>
      <c r="Q134" s="396"/>
      <c r="R134" s="396"/>
      <c r="S134" s="396"/>
      <c r="T134" s="396"/>
      <c r="U134" s="396"/>
      <c r="V134" s="396"/>
      <c r="W134" s="396"/>
      <c r="X134" s="396"/>
      <c r="Y134" s="396"/>
      <c r="Z134" s="396"/>
    </row>
    <row r="135" ht="12.0" customHeight="1">
      <c r="A135" s="396"/>
      <c r="B135" s="427"/>
      <c r="C135" s="427"/>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row>
    <row r="136" ht="12.0" customHeight="1">
      <c r="A136" s="396"/>
      <c r="B136" s="427"/>
      <c r="C136" s="427"/>
      <c r="D136" s="396"/>
      <c r="E136" s="396"/>
      <c r="F136" s="396"/>
      <c r="G136" s="396"/>
      <c r="H136" s="396"/>
      <c r="I136" s="396"/>
      <c r="J136" s="396"/>
      <c r="K136" s="396"/>
      <c r="L136" s="396"/>
      <c r="M136" s="396"/>
      <c r="N136" s="396"/>
      <c r="O136" s="396"/>
      <c r="P136" s="396"/>
      <c r="Q136" s="396"/>
      <c r="R136" s="396"/>
      <c r="S136" s="396"/>
      <c r="T136" s="396"/>
      <c r="U136" s="396"/>
      <c r="V136" s="396"/>
      <c r="W136" s="396"/>
      <c r="X136" s="396"/>
      <c r="Y136" s="396"/>
      <c r="Z136" s="396"/>
    </row>
    <row r="137" ht="12.0" customHeight="1">
      <c r="A137" s="396"/>
      <c r="B137" s="427"/>
      <c r="C137" s="427"/>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row>
    <row r="138" ht="12.0" customHeight="1">
      <c r="A138" s="396"/>
      <c r="B138" s="427"/>
      <c r="C138" s="427"/>
      <c r="D138" s="396"/>
      <c r="E138" s="396"/>
      <c r="F138" s="396"/>
      <c r="G138" s="396"/>
      <c r="H138" s="396"/>
      <c r="I138" s="396"/>
      <c r="J138" s="396"/>
      <c r="K138" s="396"/>
      <c r="L138" s="396"/>
      <c r="M138" s="396"/>
      <c r="N138" s="396"/>
      <c r="O138" s="396"/>
      <c r="P138" s="396"/>
      <c r="Q138" s="396"/>
      <c r="R138" s="396"/>
      <c r="S138" s="396"/>
      <c r="T138" s="396"/>
      <c r="U138" s="396"/>
      <c r="V138" s="396"/>
      <c r="W138" s="396"/>
      <c r="X138" s="396"/>
      <c r="Y138" s="396"/>
      <c r="Z138" s="396"/>
    </row>
    <row r="139" ht="12.0" customHeight="1">
      <c r="A139" s="396"/>
      <c r="B139" s="427"/>
      <c r="C139" s="427"/>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row>
    <row r="140" ht="12.0" customHeight="1">
      <c r="A140" s="396"/>
      <c r="B140" s="427"/>
      <c r="C140" s="427"/>
      <c r="D140" s="396"/>
      <c r="E140" s="396"/>
      <c r="F140" s="396"/>
      <c r="G140" s="396"/>
      <c r="H140" s="396"/>
      <c r="I140" s="396"/>
      <c r="J140" s="396"/>
      <c r="K140" s="396"/>
      <c r="L140" s="396"/>
      <c r="M140" s="396"/>
      <c r="N140" s="396"/>
      <c r="O140" s="396"/>
      <c r="P140" s="396"/>
      <c r="Q140" s="396"/>
      <c r="R140" s="396"/>
      <c r="S140" s="396"/>
      <c r="T140" s="396"/>
      <c r="U140" s="396"/>
      <c r="V140" s="396"/>
      <c r="W140" s="396"/>
      <c r="X140" s="396"/>
      <c r="Y140" s="396"/>
      <c r="Z140" s="396"/>
    </row>
    <row r="141" ht="12.0" customHeight="1">
      <c r="A141" s="396"/>
      <c r="B141" s="427"/>
      <c r="C141" s="427"/>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row>
    <row r="142" ht="12.0" customHeight="1">
      <c r="A142" s="396"/>
      <c r="B142" s="427"/>
      <c r="C142" s="427"/>
      <c r="D142" s="396"/>
      <c r="E142" s="396"/>
      <c r="F142" s="396"/>
      <c r="G142" s="396"/>
      <c r="H142" s="396"/>
      <c r="I142" s="396"/>
      <c r="J142" s="396"/>
      <c r="K142" s="396"/>
      <c r="L142" s="396"/>
      <c r="M142" s="396"/>
      <c r="N142" s="396"/>
      <c r="O142" s="396"/>
      <c r="P142" s="396"/>
      <c r="Q142" s="396"/>
      <c r="R142" s="396"/>
      <c r="S142" s="396"/>
      <c r="T142" s="396"/>
      <c r="U142" s="396"/>
      <c r="V142" s="396"/>
      <c r="W142" s="396"/>
      <c r="X142" s="396"/>
      <c r="Y142" s="396"/>
      <c r="Z142" s="396"/>
    </row>
    <row r="143" ht="12.0" customHeight="1">
      <c r="A143" s="396"/>
      <c r="B143" s="427"/>
      <c r="C143" s="427"/>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row>
    <row r="144" ht="12.0" customHeight="1">
      <c r="A144" s="396"/>
      <c r="B144" s="427"/>
      <c r="C144" s="427"/>
      <c r="D144" s="396"/>
      <c r="E144" s="396"/>
      <c r="F144" s="396"/>
      <c r="G144" s="396"/>
      <c r="H144" s="396"/>
      <c r="I144" s="396"/>
      <c r="J144" s="396"/>
      <c r="K144" s="396"/>
      <c r="L144" s="396"/>
      <c r="M144" s="396"/>
      <c r="N144" s="396"/>
      <c r="O144" s="396"/>
      <c r="P144" s="396"/>
      <c r="Q144" s="396"/>
      <c r="R144" s="396"/>
      <c r="S144" s="396"/>
      <c r="T144" s="396"/>
      <c r="U144" s="396"/>
      <c r="V144" s="396"/>
      <c r="W144" s="396"/>
      <c r="X144" s="396"/>
      <c r="Y144" s="396"/>
      <c r="Z144" s="396"/>
    </row>
    <row r="145" ht="12.0" customHeight="1">
      <c r="A145" s="396"/>
      <c r="B145" s="427"/>
      <c r="C145" s="427"/>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row>
    <row r="146" ht="12.0" customHeight="1">
      <c r="A146" s="396"/>
      <c r="B146" s="427"/>
      <c r="C146" s="427"/>
      <c r="D146" s="396"/>
      <c r="E146" s="396"/>
      <c r="F146" s="396"/>
      <c r="G146" s="396"/>
      <c r="H146" s="396"/>
      <c r="I146" s="396"/>
      <c r="J146" s="396"/>
      <c r="K146" s="396"/>
      <c r="L146" s="396"/>
      <c r="M146" s="396"/>
      <c r="N146" s="396"/>
      <c r="O146" s="396"/>
      <c r="P146" s="396"/>
      <c r="Q146" s="396"/>
      <c r="R146" s="396"/>
      <c r="S146" s="396"/>
      <c r="T146" s="396"/>
      <c r="U146" s="396"/>
      <c r="V146" s="396"/>
      <c r="W146" s="396"/>
      <c r="X146" s="396"/>
      <c r="Y146" s="396"/>
      <c r="Z146" s="396"/>
    </row>
    <row r="147" ht="12.0" customHeight="1">
      <c r="A147" s="396"/>
      <c r="B147" s="427"/>
      <c r="C147" s="427"/>
      <c r="D147" s="396"/>
      <c r="E147" s="396"/>
      <c r="F147" s="396"/>
      <c r="G147" s="396"/>
      <c r="H147" s="396"/>
      <c r="I147" s="396"/>
      <c r="J147" s="396"/>
      <c r="K147" s="396"/>
      <c r="L147" s="396"/>
      <c r="M147" s="396"/>
      <c r="N147" s="396"/>
      <c r="O147" s="396"/>
      <c r="P147" s="396"/>
      <c r="Q147" s="396"/>
      <c r="R147" s="396"/>
      <c r="S147" s="396"/>
      <c r="T147" s="396"/>
      <c r="U147" s="396"/>
      <c r="V147" s="396"/>
      <c r="W147" s="396"/>
      <c r="X147" s="396"/>
      <c r="Y147" s="396"/>
      <c r="Z147" s="396"/>
    </row>
    <row r="148" ht="12.0" customHeight="1">
      <c r="A148" s="396"/>
      <c r="B148" s="427"/>
      <c r="C148" s="427"/>
      <c r="D148" s="396"/>
      <c r="E148" s="396"/>
      <c r="F148" s="396"/>
      <c r="G148" s="396"/>
      <c r="H148" s="396"/>
      <c r="I148" s="396"/>
      <c r="J148" s="396"/>
      <c r="K148" s="396"/>
      <c r="L148" s="396"/>
      <c r="M148" s="396"/>
      <c r="N148" s="396"/>
      <c r="O148" s="396"/>
      <c r="P148" s="396"/>
      <c r="Q148" s="396"/>
      <c r="R148" s="396"/>
      <c r="S148" s="396"/>
      <c r="T148" s="396"/>
      <c r="U148" s="396"/>
      <c r="V148" s="396"/>
      <c r="W148" s="396"/>
      <c r="X148" s="396"/>
      <c r="Y148" s="396"/>
      <c r="Z148" s="396"/>
    </row>
    <row r="149" ht="12.0" customHeight="1">
      <c r="A149" s="396"/>
      <c r="B149" s="427"/>
      <c r="C149" s="427"/>
      <c r="D149" s="396"/>
      <c r="E149" s="396"/>
      <c r="F149" s="396"/>
      <c r="G149" s="396"/>
      <c r="H149" s="396"/>
      <c r="I149" s="396"/>
      <c r="J149" s="396"/>
      <c r="K149" s="396"/>
      <c r="L149" s="396"/>
      <c r="M149" s="396"/>
      <c r="N149" s="396"/>
      <c r="O149" s="396"/>
      <c r="P149" s="396"/>
      <c r="Q149" s="396"/>
      <c r="R149" s="396"/>
      <c r="S149" s="396"/>
      <c r="T149" s="396"/>
      <c r="U149" s="396"/>
      <c r="V149" s="396"/>
      <c r="W149" s="396"/>
      <c r="X149" s="396"/>
      <c r="Y149" s="396"/>
      <c r="Z149" s="396"/>
    </row>
    <row r="150" ht="12.0" customHeight="1">
      <c r="A150" s="396"/>
      <c r="B150" s="427"/>
      <c r="C150" s="427"/>
      <c r="D150" s="396"/>
      <c r="E150" s="396"/>
      <c r="F150" s="396"/>
      <c r="G150" s="396"/>
      <c r="H150" s="396"/>
      <c r="I150" s="396"/>
      <c r="J150" s="396"/>
      <c r="K150" s="396"/>
      <c r="L150" s="396"/>
      <c r="M150" s="396"/>
      <c r="N150" s="396"/>
      <c r="O150" s="396"/>
      <c r="P150" s="396"/>
      <c r="Q150" s="396"/>
      <c r="R150" s="396"/>
      <c r="S150" s="396"/>
      <c r="T150" s="396"/>
      <c r="U150" s="396"/>
      <c r="V150" s="396"/>
      <c r="W150" s="396"/>
      <c r="X150" s="396"/>
      <c r="Y150" s="396"/>
      <c r="Z150" s="396"/>
    </row>
    <row r="151" ht="12.0" customHeight="1">
      <c r="A151" s="396"/>
      <c r="B151" s="427"/>
      <c r="C151" s="427"/>
      <c r="D151" s="396"/>
      <c r="E151" s="396"/>
      <c r="F151" s="396"/>
      <c r="G151" s="396"/>
      <c r="H151" s="396"/>
      <c r="I151" s="396"/>
      <c r="J151" s="396"/>
      <c r="K151" s="396"/>
      <c r="L151" s="396"/>
      <c r="M151" s="396"/>
      <c r="N151" s="396"/>
      <c r="O151" s="396"/>
      <c r="P151" s="396"/>
      <c r="Q151" s="396"/>
      <c r="R151" s="396"/>
      <c r="S151" s="396"/>
      <c r="T151" s="396"/>
      <c r="U151" s="396"/>
      <c r="V151" s="396"/>
      <c r="W151" s="396"/>
      <c r="X151" s="396"/>
      <c r="Y151" s="396"/>
      <c r="Z151" s="396"/>
    </row>
    <row r="152" ht="12.0" customHeight="1">
      <c r="A152" s="396"/>
      <c r="B152" s="427"/>
      <c r="C152" s="427"/>
      <c r="D152" s="396"/>
      <c r="E152" s="396"/>
      <c r="F152" s="396"/>
      <c r="G152" s="396"/>
      <c r="H152" s="396"/>
      <c r="I152" s="396"/>
      <c r="J152" s="396"/>
      <c r="K152" s="396"/>
      <c r="L152" s="396"/>
      <c r="M152" s="396"/>
      <c r="N152" s="396"/>
      <c r="O152" s="396"/>
      <c r="P152" s="396"/>
      <c r="Q152" s="396"/>
      <c r="R152" s="396"/>
      <c r="S152" s="396"/>
      <c r="T152" s="396"/>
      <c r="U152" s="396"/>
      <c r="V152" s="396"/>
      <c r="W152" s="396"/>
      <c r="X152" s="396"/>
      <c r="Y152" s="396"/>
      <c r="Z152" s="396"/>
    </row>
    <row r="153" ht="12.0" customHeight="1">
      <c r="A153" s="396"/>
      <c r="B153" s="427"/>
      <c r="C153" s="427"/>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row>
    <row r="154" ht="12.0" customHeight="1">
      <c r="A154" s="396"/>
      <c r="B154" s="427"/>
      <c r="C154" s="427"/>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row>
    <row r="155" ht="12.0" customHeight="1">
      <c r="A155" s="396"/>
      <c r="B155" s="427"/>
      <c r="C155" s="427"/>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row>
    <row r="156" ht="12.0" customHeight="1">
      <c r="A156" s="396"/>
      <c r="B156" s="427"/>
      <c r="C156" s="427"/>
      <c r="D156" s="396"/>
      <c r="E156" s="396"/>
      <c r="F156" s="396"/>
      <c r="G156" s="396"/>
      <c r="H156" s="396"/>
      <c r="I156" s="396"/>
      <c r="J156" s="396"/>
      <c r="K156" s="396"/>
      <c r="L156" s="396"/>
      <c r="M156" s="396"/>
      <c r="N156" s="396"/>
      <c r="O156" s="396"/>
      <c r="P156" s="396"/>
      <c r="Q156" s="396"/>
      <c r="R156" s="396"/>
      <c r="S156" s="396"/>
      <c r="T156" s="396"/>
      <c r="U156" s="396"/>
      <c r="V156" s="396"/>
      <c r="W156" s="396"/>
      <c r="X156" s="396"/>
      <c r="Y156" s="396"/>
      <c r="Z156" s="396"/>
    </row>
    <row r="157" ht="12.0" customHeight="1">
      <c r="A157" s="396"/>
      <c r="B157" s="427"/>
      <c r="C157" s="427"/>
      <c r="D157" s="396"/>
      <c r="E157" s="396"/>
      <c r="F157" s="396"/>
      <c r="G157" s="396"/>
      <c r="H157" s="396"/>
      <c r="I157" s="396"/>
      <c r="J157" s="396"/>
      <c r="K157" s="396"/>
      <c r="L157" s="396"/>
      <c r="M157" s="396"/>
      <c r="N157" s="396"/>
      <c r="O157" s="396"/>
      <c r="P157" s="396"/>
      <c r="Q157" s="396"/>
      <c r="R157" s="396"/>
      <c r="S157" s="396"/>
      <c r="T157" s="396"/>
      <c r="U157" s="396"/>
      <c r="V157" s="396"/>
      <c r="W157" s="396"/>
      <c r="X157" s="396"/>
      <c r="Y157" s="396"/>
      <c r="Z157" s="396"/>
    </row>
    <row r="158" ht="12.0" customHeight="1">
      <c r="A158" s="396"/>
      <c r="B158" s="427"/>
      <c r="C158" s="427"/>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row>
    <row r="159" ht="12.0" customHeight="1">
      <c r="A159" s="396"/>
      <c r="B159" s="427"/>
      <c r="C159" s="427"/>
      <c r="D159" s="396"/>
      <c r="E159" s="396"/>
      <c r="F159" s="396"/>
      <c r="G159" s="396"/>
      <c r="H159" s="396"/>
      <c r="I159" s="396"/>
      <c r="J159" s="396"/>
      <c r="K159" s="396"/>
      <c r="L159" s="396"/>
      <c r="M159" s="396"/>
      <c r="N159" s="396"/>
      <c r="O159" s="396"/>
      <c r="P159" s="396"/>
      <c r="Q159" s="396"/>
      <c r="R159" s="396"/>
      <c r="S159" s="396"/>
      <c r="T159" s="396"/>
      <c r="U159" s="396"/>
      <c r="V159" s="396"/>
      <c r="W159" s="396"/>
      <c r="X159" s="396"/>
      <c r="Y159" s="396"/>
      <c r="Z159" s="396"/>
    </row>
    <row r="160" ht="12.0" customHeight="1">
      <c r="A160" s="396"/>
      <c r="B160" s="427"/>
      <c r="C160" s="427"/>
      <c r="D160" s="396"/>
      <c r="E160" s="396"/>
      <c r="F160" s="396"/>
      <c r="G160" s="396"/>
      <c r="H160" s="396"/>
      <c r="I160" s="396"/>
      <c r="J160" s="396"/>
      <c r="K160" s="396"/>
      <c r="L160" s="396"/>
      <c r="M160" s="396"/>
      <c r="N160" s="396"/>
      <c r="O160" s="396"/>
      <c r="P160" s="396"/>
      <c r="Q160" s="396"/>
      <c r="R160" s="396"/>
      <c r="S160" s="396"/>
      <c r="T160" s="396"/>
      <c r="U160" s="396"/>
      <c r="V160" s="396"/>
      <c r="W160" s="396"/>
      <c r="X160" s="396"/>
      <c r="Y160" s="396"/>
      <c r="Z160" s="396"/>
    </row>
    <row r="161" ht="12.0" customHeight="1">
      <c r="A161" s="396"/>
      <c r="B161" s="427"/>
      <c r="C161" s="427"/>
      <c r="D161" s="396"/>
      <c r="E161" s="396"/>
      <c r="F161" s="396"/>
      <c r="G161" s="396"/>
      <c r="H161" s="396"/>
      <c r="I161" s="396"/>
      <c r="J161" s="396"/>
      <c r="K161" s="396"/>
      <c r="L161" s="396"/>
      <c r="M161" s="396"/>
      <c r="N161" s="396"/>
      <c r="O161" s="396"/>
      <c r="P161" s="396"/>
      <c r="Q161" s="396"/>
      <c r="R161" s="396"/>
      <c r="S161" s="396"/>
      <c r="T161" s="396"/>
      <c r="U161" s="396"/>
      <c r="V161" s="396"/>
      <c r="W161" s="396"/>
      <c r="X161" s="396"/>
      <c r="Y161" s="396"/>
      <c r="Z161" s="396"/>
    </row>
    <row r="162" ht="12.0" customHeight="1">
      <c r="A162" s="396"/>
      <c r="B162" s="427"/>
      <c r="C162" s="427"/>
      <c r="D162" s="396"/>
      <c r="E162" s="396"/>
      <c r="F162" s="396"/>
      <c r="G162" s="396"/>
      <c r="H162" s="396"/>
      <c r="I162" s="396"/>
      <c r="J162" s="396"/>
      <c r="K162" s="396"/>
      <c r="L162" s="396"/>
      <c r="M162" s="396"/>
      <c r="N162" s="396"/>
      <c r="O162" s="396"/>
      <c r="P162" s="396"/>
      <c r="Q162" s="396"/>
      <c r="R162" s="396"/>
      <c r="S162" s="396"/>
      <c r="T162" s="396"/>
      <c r="U162" s="396"/>
      <c r="V162" s="396"/>
      <c r="W162" s="396"/>
      <c r="X162" s="396"/>
      <c r="Y162" s="396"/>
      <c r="Z162" s="396"/>
    </row>
    <row r="163" ht="12.0" customHeight="1">
      <c r="A163" s="396"/>
      <c r="B163" s="427"/>
      <c r="C163" s="427"/>
      <c r="D163" s="396"/>
      <c r="E163" s="396"/>
      <c r="F163" s="396"/>
      <c r="G163" s="396"/>
      <c r="H163" s="396"/>
      <c r="I163" s="396"/>
      <c r="J163" s="396"/>
      <c r="K163" s="396"/>
      <c r="L163" s="396"/>
      <c r="M163" s="396"/>
      <c r="N163" s="396"/>
      <c r="O163" s="396"/>
      <c r="P163" s="396"/>
      <c r="Q163" s="396"/>
      <c r="R163" s="396"/>
      <c r="S163" s="396"/>
      <c r="T163" s="396"/>
      <c r="U163" s="396"/>
      <c r="V163" s="396"/>
      <c r="W163" s="396"/>
      <c r="X163" s="396"/>
      <c r="Y163" s="396"/>
      <c r="Z163" s="396"/>
    </row>
    <row r="164" ht="12.0" customHeight="1">
      <c r="A164" s="396"/>
      <c r="B164" s="427"/>
      <c r="C164" s="427"/>
      <c r="D164" s="396"/>
      <c r="E164" s="396"/>
      <c r="F164" s="396"/>
      <c r="G164" s="396"/>
      <c r="H164" s="396"/>
      <c r="I164" s="396"/>
      <c r="J164" s="396"/>
      <c r="K164" s="396"/>
      <c r="L164" s="396"/>
      <c r="M164" s="396"/>
      <c r="N164" s="396"/>
      <c r="O164" s="396"/>
      <c r="P164" s="396"/>
      <c r="Q164" s="396"/>
      <c r="R164" s="396"/>
      <c r="S164" s="396"/>
      <c r="T164" s="396"/>
      <c r="U164" s="396"/>
      <c r="V164" s="396"/>
      <c r="W164" s="396"/>
      <c r="X164" s="396"/>
      <c r="Y164" s="396"/>
      <c r="Z164" s="396"/>
    </row>
    <row r="165" ht="12.0" customHeight="1">
      <c r="A165" s="396"/>
      <c r="B165" s="427"/>
      <c r="C165" s="427"/>
      <c r="D165" s="396"/>
      <c r="E165" s="396"/>
      <c r="F165" s="396"/>
      <c r="G165" s="396"/>
      <c r="H165" s="396"/>
      <c r="I165" s="396"/>
      <c r="J165" s="396"/>
      <c r="K165" s="396"/>
      <c r="L165" s="396"/>
      <c r="M165" s="396"/>
      <c r="N165" s="396"/>
      <c r="O165" s="396"/>
      <c r="P165" s="396"/>
      <c r="Q165" s="396"/>
      <c r="R165" s="396"/>
      <c r="S165" s="396"/>
      <c r="T165" s="396"/>
      <c r="U165" s="396"/>
      <c r="V165" s="396"/>
      <c r="W165" s="396"/>
      <c r="X165" s="396"/>
      <c r="Y165" s="396"/>
      <c r="Z165" s="396"/>
    </row>
    <row r="166" ht="12.0" customHeight="1">
      <c r="A166" s="396"/>
      <c r="B166" s="427"/>
      <c r="C166" s="427"/>
      <c r="D166" s="396"/>
      <c r="E166" s="396"/>
      <c r="F166" s="396"/>
      <c r="G166" s="396"/>
      <c r="H166" s="396"/>
      <c r="I166" s="396"/>
      <c r="J166" s="396"/>
      <c r="K166" s="396"/>
      <c r="L166" s="396"/>
      <c r="M166" s="396"/>
      <c r="N166" s="396"/>
      <c r="O166" s="396"/>
      <c r="P166" s="396"/>
      <c r="Q166" s="396"/>
      <c r="R166" s="396"/>
      <c r="S166" s="396"/>
      <c r="T166" s="396"/>
      <c r="U166" s="396"/>
      <c r="V166" s="396"/>
      <c r="W166" s="396"/>
      <c r="X166" s="396"/>
      <c r="Y166" s="396"/>
      <c r="Z166" s="396"/>
    </row>
    <row r="167" ht="12.0" customHeight="1">
      <c r="A167" s="396"/>
      <c r="B167" s="427"/>
      <c r="C167" s="427"/>
      <c r="D167" s="396"/>
      <c r="E167" s="396"/>
      <c r="F167" s="396"/>
      <c r="G167" s="396"/>
      <c r="H167" s="396"/>
      <c r="I167" s="396"/>
      <c r="J167" s="396"/>
      <c r="K167" s="396"/>
      <c r="L167" s="396"/>
      <c r="M167" s="396"/>
      <c r="N167" s="396"/>
      <c r="O167" s="396"/>
      <c r="P167" s="396"/>
      <c r="Q167" s="396"/>
      <c r="R167" s="396"/>
      <c r="S167" s="396"/>
      <c r="T167" s="396"/>
      <c r="U167" s="396"/>
      <c r="V167" s="396"/>
      <c r="W167" s="396"/>
      <c r="X167" s="396"/>
      <c r="Y167" s="396"/>
      <c r="Z167" s="396"/>
    </row>
    <row r="168" ht="12.0" customHeight="1">
      <c r="A168" s="396"/>
      <c r="B168" s="427"/>
      <c r="C168" s="427"/>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row>
    <row r="169" ht="12.0" customHeight="1">
      <c r="A169" s="396"/>
      <c r="B169" s="427"/>
      <c r="C169" s="427"/>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row>
    <row r="170" ht="12.0" customHeight="1">
      <c r="A170" s="396"/>
      <c r="B170" s="427"/>
      <c r="C170" s="427"/>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row>
    <row r="171" ht="12.0" customHeight="1">
      <c r="A171" s="396"/>
      <c r="B171" s="427"/>
      <c r="C171" s="427"/>
      <c r="D171" s="396"/>
      <c r="E171" s="396"/>
      <c r="F171" s="396"/>
      <c r="G171" s="396"/>
      <c r="H171" s="396"/>
      <c r="I171" s="396"/>
      <c r="J171" s="396"/>
      <c r="K171" s="396"/>
      <c r="L171" s="396"/>
      <c r="M171" s="396"/>
      <c r="N171" s="396"/>
      <c r="O171" s="396"/>
      <c r="P171" s="396"/>
      <c r="Q171" s="396"/>
      <c r="R171" s="396"/>
      <c r="S171" s="396"/>
      <c r="T171" s="396"/>
      <c r="U171" s="396"/>
      <c r="V171" s="396"/>
      <c r="W171" s="396"/>
      <c r="X171" s="396"/>
      <c r="Y171" s="396"/>
      <c r="Z171" s="396"/>
    </row>
    <row r="172" ht="12.0" customHeight="1">
      <c r="A172" s="396"/>
      <c r="B172" s="427"/>
      <c r="C172" s="427"/>
      <c r="D172" s="396"/>
      <c r="E172" s="396"/>
      <c r="F172" s="396"/>
      <c r="G172" s="396"/>
      <c r="H172" s="396"/>
      <c r="I172" s="396"/>
      <c r="J172" s="396"/>
      <c r="K172" s="396"/>
      <c r="L172" s="396"/>
      <c r="M172" s="396"/>
      <c r="N172" s="396"/>
      <c r="O172" s="396"/>
      <c r="P172" s="396"/>
      <c r="Q172" s="396"/>
      <c r="R172" s="396"/>
      <c r="S172" s="396"/>
      <c r="T172" s="396"/>
      <c r="U172" s="396"/>
      <c r="V172" s="396"/>
      <c r="W172" s="396"/>
      <c r="X172" s="396"/>
      <c r="Y172" s="396"/>
      <c r="Z172" s="396"/>
    </row>
    <row r="173" ht="12.0" customHeight="1">
      <c r="A173" s="396"/>
      <c r="B173" s="427"/>
      <c r="C173" s="427"/>
      <c r="D173" s="396"/>
      <c r="E173" s="396"/>
      <c r="F173" s="396"/>
      <c r="G173" s="396"/>
      <c r="H173" s="396"/>
      <c r="I173" s="396"/>
      <c r="J173" s="396"/>
      <c r="K173" s="396"/>
      <c r="L173" s="396"/>
      <c r="M173" s="396"/>
      <c r="N173" s="396"/>
      <c r="O173" s="396"/>
      <c r="P173" s="396"/>
      <c r="Q173" s="396"/>
      <c r="R173" s="396"/>
      <c r="S173" s="396"/>
      <c r="T173" s="396"/>
      <c r="U173" s="396"/>
      <c r="V173" s="396"/>
      <c r="W173" s="396"/>
      <c r="X173" s="396"/>
      <c r="Y173" s="396"/>
      <c r="Z173" s="396"/>
    </row>
    <row r="174" ht="12.0" customHeight="1">
      <c r="A174" s="396"/>
      <c r="B174" s="427"/>
      <c r="C174" s="427"/>
      <c r="D174" s="396"/>
      <c r="E174" s="396"/>
      <c r="F174" s="396"/>
      <c r="G174" s="396"/>
      <c r="H174" s="396"/>
      <c r="I174" s="396"/>
      <c r="J174" s="396"/>
      <c r="K174" s="396"/>
      <c r="L174" s="396"/>
      <c r="M174" s="396"/>
      <c r="N174" s="396"/>
      <c r="O174" s="396"/>
      <c r="P174" s="396"/>
      <c r="Q174" s="396"/>
      <c r="R174" s="396"/>
      <c r="S174" s="396"/>
      <c r="T174" s="396"/>
      <c r="U174" s="396"/>
      <c r="V174" s="396"/>
      <c r="W174" s="396"/>
      <c r="X174" s="396"/>
      <c r="Y174" s="396"/>
      <c r="Z174" s="396"/>
    </row>
    <row r="175" ht="12.0" customHeight="1">
      <c r="A175" s="396"/>
      <c r="B175" s="427"/>
      <c r="C175" s="427"/>
      <c r="D175" s="396"/>
      <c r="E175" s="396"/>
      <c r="F175" s="396"/>
      <c r="G175" s="396"/>
      <c r="H175" s="396"/>
      <c r="I175" s="396"/>
      <c r="J175" s="396"/>
      <c r="K175" s="396"/>
      <c r="L175" s="396"/>
      <c r="M175" s="396"/>
      <c r="N175" s="396"/>
      <c r="O175" s="396"/>
      <c r="P175" s="396"/>
      <c r="Q175" s="396"/>
      <c r="R175" s="396"/>
      <c r="S175" s="396"/>
      <c r="T175" s="396"/>
      <c r="U175" s="396"/>
      <c r="V175" s="396"/>
      <c r="W175" s="396"/>
      <c r="X175" s="396"/>
      <c r="Y175" s="396"/>
      <c r="Z175" s="396"/>
    </row>
    <row r="176" ht="12.0" customHeight="1">
      <c r="A176" s="396"/>
      <c r="B176" s="427"/>
      <c r="C176" s="427"/>
      <c r="D176" s="396"/>
      <c r="E176" s="396"/>
      <c r="F176" s="396"/>
      <c r="G176" s="396"/>
      <c r="H176" s="396"/>
      <c r="I176" s="396"/>
      <c r="J176" s="396"/>
      <c r="K176" s="396"/>
      <c r="L176" s="396"/>
      <c r="M176" s="396"/>
      <c r="N176" s="396"/>
      <c r="O176" s="396"/>
      <c r="P176" s="396"/>
      <c r="Q176" s="396"/>
      <c r="R176" s="396"/>
      <c r="S176" s="396"/>
      <c r="T176" s="396"/>
      <c r="U176" s="396"/>
      <c r="V176" s="396"/>
      <c r="W176" s="396"/>
      <c r="X176" s="396"/>
      <c r="Y176" s="396"/>
      <c r="Z176" s="396"/>
    </row>
    <row r="177" ht="12.0" customHeight="1">
      <c r="A177" s="396"/>
      <c r="B177" s="427"/>
      <c r="C177" s="427"/>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row>
    <row r="178" ht="12.0" customHeight="1">
      <c r="A178" s="396"/>
      <c r="B178" s="427"/>
      <c r="C178" s="427"/>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row>
    <row r="179" ht="12.0" customHeight="1">
      <c r="A179" s="396"/>
      <c r="B179" s="427"/>
      <c r="C179" s="427"/>
      <c r="D179" s="396"/>
      <c r="E179" s="396"/>
      <c r="F179" s="396"/>
      <c r="G179" s="396"/>
      <c r="H179" s="396"/>
      <c r="I179" s="396"/>
      <c r="J179" s="396"/>
      <c r="K179" s="396"/>
      <c r="L179" s="396"/>
      <c r="M179" s="396"/>
      <c r="N179" s="396"/>
      <c r="O179" s="396"/>
      <c r="P179" s="396"/>
      <c r="Q179" s="396"/>
      <c r="R179" s="396"/>
      <c r="S179" s="396"/>
      <c r="T179" s="396"/>
      <c r="U179" s="396"/>
      <c r="V179" s="396"/>
      <c r="W179" s="396"/>
      <c r="X179" s="396"/>
      <c r="Y179" s="396"/>
      <c r="Z179" s="396"/>
    </row>
    <row r="180" ht="12.0" customHeight="1">
      <c r="A180" s="396"/>
      <c r="B180" s="427"/>
      <c r="C180" s="427"/>
      <c r="D180" s="396"/>
      <c r="E180" s="396"/>
      <c r="F180" s="396"/>
      <c r="G180" s="396"/>
      <c r="H180" s="396"/>
      <c r="I180" s="396"/>
      <c r="J180" s="396"/>
      <c r="K180" s="396"/>
      <c r="L180" s="396"/>
      <c r="M180" s="396"/>
      <c r="N180" s="396"/>
      <c r="O180" s="396"/>
      <c r="P180" s="396"/>
      <c r="Q180" s="396"/>
      <c r="R180" s="396"/>
      <c r="S180" s="396"/>
      <c r="T180" s="396"/>
      <c r="U180" s="396"/>
      <c r="V180" s="396"/>
      <c r="W180" s="396"/>
      <c r="X180" s="396"/>
      <c r="Y180" s="396"/>
      <c r="Z180" s="396"/>
    </row>
    <row r="181" ht="12.0" customHeight="1">
      <c r="A181" s="396"/>
      <c r="B181" s="427"/>
      <c r="C181" s="427"/>
      <c r="D181" s="396"/>
      <c r="E181" s="396"/>
      <c r="F181" s="396"/>
      <c r="G181" s="396"/>
      <c r="H181" s="396"/>
      <c r="I181" s="396"/>
      <c r="J181" s="396"/>
      <c r="K181" s="396"/>
      <c r="L181" s="396"/>
      <c r="M181" s="396"/>
      <c r="N181" s="396"/>
      <c r="O181" s="396"/>
      <c r="P181" s="396"/>
      <c r="Q181" s="396"/>
      <c r="R181" s="396"/>
      <c r="S181" s="396"/>
      <c r="T181" s="396"/>
      <c r="U181" s="396"/>
      <c r="V181" s="396"/>
      <c r="W181" s="396"/>
      <c r="X181" s="396"/>
      <c r="Y181" s="396"/>
      <c r="Z181" s="396"/>
    </row>
    <row r="182" ht="12.0" customHeight="1">
      <c r="A182" s="396"/>
      <c r="B182" s="427"/>
      <c r="C182" s="427"/>
      <c r="D182" s="396"/>
      <c r="E182" s="396"/>
      <c r="F182" s="396"/>
      <c r="G182" s="396"/>
      <c r="H182" s="396"/>
      <c r="I182" s="396"/>
      <c r="J182" s="396"/>
      <c r="K182" s="396"/>
      <c r="L182" s="396"/>
      <c r="M182" s="396"/>
      <c r="N182" s="396"/>
      <c r="O182" s="396"/>
      <c r="P182" s="396"/>
      <c r="Q182" s="396"/>
      <c r="R182" s="396"/>
      <c r="S182" s="396"/>
      <c r="T182" s="396"/>
      <c r="U182" s="396"/>
      <c r="V182" s="396"/>
      <c r="W182" s="396"/>
      <c r="X182" s="396"/>
      <c r="Y182" s="396"/>
      <c r="Z182" s="396"/>
    </row>
    <row r="183" ht="12.0" customHeight="1">
      <c r="A183" s="396"/>
      <c r="B183" s="427"/>
      <c r="C183" s="427"/>
      <c r="D183" s="396"/>
      <c r="E183" s="396"/>
      <c r="F183" s="396"/>
      <c r="G183" s="396"/>
      <c r="H183" s="396"/>
      <c r="I183" s="396"/>
      <c r="J183" s="396"/>
      <c r="K183" s="396"/>
      <c r="L183" s="396"/>
      <c r="M183" s="396"/>
      <c r="N183" s="396"/>
      <c r="O183" s="396"/>
      <c r="P183" s="396"/>
      <c r="Q183" s="396"/>
      <c r="R183" s="396"/>
      <c r="S183" s="396"/>
      <c r="T183" s="396"/>
      <c r="U183" s="396"/>
      <c r="V183" s="396"/>
      <c r="W183" s="396"/>
      <c r="X183" s="396"/>
      <c r="Y183" s="396"/>
      <c r="Z183" s="396"/>
    </row>
    <row r="184" ht="12.0" customHeight="1">
      <c r="A184" s="396"/>
      <c r="B184" s="427"/>
      <c r="C184" s="427"/>
      <c r="D184" s="396"/>
      <c r="E184" s="396"/>
      <c r="F184" s="396"/>
      <c r="G184" s="396"/>
      <c r="H184" s="396"/>
      <c r="I184" s="396"/>
      <c r="J184" s="396"/>
      <c r="K184" s="396"/>
      <c r="L184" s="396"/>
      <c r="M184" s="396"/>
      <c r="N184" s="396"/>
      <c r="O184" s="396"/>
      <c r="P184" s="396"/>
      <c r="Q184" s="396"/>
      <c r="R184" s="396"/>
      <c r="S184" s="396"/>
      <c r="T184" s="396"/>
      <c r="U184" s="396"/>
      <c r="V184" s="396"/>
      <c r="W184" s="396"/>
      <c r="X184" s="396"/>
      <c r="Y184" s="396"/>
      <c r="Z184" s="396"/>
    </row>
    <row r="185" ht="12.0" customHeight="1">
      <c r="A185" s="396"/>
      <c r="B185" s="427"/>
      <c r="C185" s="427"/>
      <c r="D185" s="396"/>
      <c r="E185" s="396"/>
      <c r="F185" s="396"/>
      <c r="G185" s="396"/>
      <c r="H185" s="396"/>
      <c r="I185" s="396"/>
      <c r="J185" s="396"/>
      <c r="K185" s="396"/>
      <c r="L185" s="396"/>
      <c r="M185" s="396"/>
      <c r="N185" s="396"/>
      <c r="O185" s="396"/>
      <c r="P185" s="396"/>
      <c r="Q185" s="396"/>
      <c r="R185" s="396"/>
      <c r="S185" s="396"/>
      <c r="T185" s="396"/>
      <c r="U185" s="396"/>
      <c r="V185" s="396"/>
      <c r="W185" s="396"/>
      <c r="X185" s="396"/>
      <c r="Y185" s="396"/>
      <c r="Z185" s="396"/>
    </row>
    <row r="186" ht="12.0" customHeight="1">
      <c r="A186" s="396"/>
      <c r="B186" s="427"/>
      <c r="C186" s="427"/>
      <c r="D186" s="396"/>
      <c r="E186" s="396"/>
      <c r="F186" s="396"/>
      <c r="G186" s="396"/>
      <c r="H186" s="396"/>
      <c r="I186" s="396"/>
      <c r="J186" s="396"/>
      <c r="K186" s="396"/>
      <c r="L186" s="396"/>
      <c r="M186" s="396"/>
      <c r="N186" s="396"/>
      <c r="O186" s="396"/>
      <c r="P186" s="396"/>
      <c r="Q186" s="396"/>
      <c r="R186" s="396"/>
      <c r="S186" s="396"/>
      <c r="T186" s="396"/>
      <c r="U186" s="396"/>
      <c r="V186" s="396"/>
      <c r="W186" s="396"/>
      <c r="X186" s="396"/>
      <c r="Y186" s="396"/>
      <c r="Z186" s="396"/>
    </row>
    <row r="187" ht="12.0" customHeight="1">
      <c r="A187" s="396"/>
      <c r="B187" s="427"/>
      <c r="C187" s="427"/>
      <c r="D187" s="396"/>
      <c r="E187" s="396"/>
      <c r="F187" s="396"/>
      <c r="G187" s="396"/>
      <c r="H187" s="396"/>
      <c r="I187" s="396"/>
      <c r="J187" s="396"/>
      <c r="K187" s="396"/>
      <c r="L187" s="396"/>
      <c r="M187" s="396"/>
      <c r="N187" s="396"/>
      <c r="O187" s="396"/>
      <c r="P187" s="396"/>
      <c r="Q187" s="396"/>
      <c r="R187" s="396"/>
      <c r="S187" s="396"/>
      <c r="T187" s="396"/>
      <c r="U187" s="396"/>
      <c r="V187" s="396"/>
      <c r="W187" s="396"/>
      <c r="X187" s="396"/>
      <c r="Y187" s="396"/>
      <c r="Z187" s="396"/>
    </row>
    <row r="188" ht="12.0" customHeight="1">
      <c r="A188" s="396"/>
      <c r="B188" s="427"/>
      <c r="C188" s="427"/>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row>
    <row r="189" ht="12.0" customHeight="1">
      <c r="A189" s="396"/>
      <c r="B189" s="427"/>
      <c r="C189" s="427"/>
      <c r="D189" s="396"/>
      <c r="E189" s="396"/>
      <c r="F189" s="396"/>
      <c r="G189" s="396"/>
      <c r="H189" s="396"/>
      <c r="I189" s="396"/>
      <c r="J189" s="396"/>
      <c r="K189" s="396"/>
      <c r="L189" s="396"/>
      <c r="M189" s="396"/>
      <c r="N189" s="396"/>
      <c r="O189" s="396"/>
      <c r="P189" s="396"/>
      <c r="Q189" s="396"/>
      <c r="R189" s="396"/>
      <c r="S189" s="396"/>
      <c r="T189" s="396"/>
      <c r="U189" s="396"/>
      <c r="V189" s="396"/>
      <c r="W189" s="396"/>
      <c r="X189" s="396"/>
      <c r="Y189" s="396"/>
      <c r="Z189" s="396"/>
    </row>
    <row r="190" ht="12.0" customHeight="1">
      <c r="A190" s="396"/>
      <c r="B190" s="427"/>
      <c r="C190" s="427"/>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row>
    <row r="191" ht="12.0" customHeight="1">
      <c r="A191" s="396"/>
      <c r="B191" s="427"/>
      <c r="C191" s="427"/>
      <c r="D191" s="396"/>
      <c r="E191" s="396"/>
      <c r="F191" s="396"/>
      <c r="G191" s="396"/>
      <c r="H191" s="396"/>
      <c r="I191" s="396"/>
      <c r="J191" s="396"/>
      <c r="K191" s="396"/>
      <c r="L191" s="396"/>
      <c r="M191" s="396"/>
      <c r="N191" s="396"/>
      <c r="O191" s="396"/>
      <c r="P191" s="396"/>
      <c r="Q191" s="396"/>
      <c r="R191" s="396"/>
      <c r="S191" s="396"/>
      <c r="T191" s="396"/>
      <c r="U191" s="396"/>
      <c r="V191" s="396"/>
      <c r="W191" s="396"/>
      <c r="X191" s="396"/>
      <c r="Y191" s="396"/>
      <c r="Z191" s="396"/>
    </row>
    <row r="192" ht="12.0" customHeight="1">
      <c r="A192" s="396"/>
      <c r="B192" s="427"/>
      <c r="C192" s="427"/>
      <c r="D192" s="396"/>
      <c r="E192" s="396"/>
      <c r="F192" s="396"/>
      <c r="G192" s="396"/>
      <c r="H192" s="396"/>
      <c r="I192" s="396"/>
      <c r="J192" s="396"/>
      <c r="K192" s="396"/>
      <c r="L192" s="396"/>
      <c r="M192" s="396"/>
      <c r="N192" s="396"/>
      <c r="O192" s="396"/>
      <c r="P192" s="396"/>
      <c r="Q192" s="396"/>
      <c r="R192" s="396"/>
      <c r="S192" s="396"/>
      <c r="T192" s="396"/>
      <c r="U192" s="396"/>
      <c r="V192" s="396"/>
      <c r="W192" s="396"/>
      <c r="X192" s="396"/>
      <c r="Y192" s="396"/>
      <c r="Z192" s="396"/>
    </row>
    <row r="193" ht="12.0" customHeight="1">
      <c r="A193" s="396"/>
      <c r="B193" s="427"/>
      <c r="C193" s="427"/>
      <c r="D193" s="396"/>
      <c r="E193" s="396"/>
      <c r="F193" s="396"/>
      <c r="G193" s="396"/>
      <c r="H193" s="396"/>
      <c r="I193" s="396"/>
      <c r="J193" s="396"/>
      <c r="K193" s="396"/>
      <c r="L193" s="396"/>
      <c r="M193" s="396"/>
      <c r="N193" s="396"/>
      <c r="O193" s="396"/>
      <c r="P193" s="396"/>
      <c r="Q193" s="396"/>
      <c r="R193" s="396"/>
      <c r="S193" s="396"/>
      <c r="T193" s="396"/>
      <c r="U193" s="396"/>
      <c r="V193" s="396"/>
      <c r="W193" s="396"/>
      <c r="X193" s="396"/>
      <c r="Y193" s="396"/>
      <c r="Z193" s="396"/>
    </row>
    <row r="194" ht="12.0" customHeight="1">
      <c r="A194" s="396"/>
      <c r="B194" s="427"/>
      <c r="C194" s="427"/>
      <c r="D194" s="396"/>
      <c r="E194" s="396"/>
      <c r="F194" s="396"/>
      <c r="G194" s="396"/>
      <c r="H194" s="396"/>
      <c r="I194" s="396"/>
      <c r="J194" s="396"/>
      <c r="K194" s="396"/>
      <c r="L194" s="396"/>
      <c r="M194" s="396"/>
      <c r="N194" s="396"/>
      <c r="O194" s="396"/>
      <c r="P194" s="396"/>
      <c r="Q194" s="396"/>
      <c r="R194" s="396"/>
      <c r="S194" s="396"/>
      <c r="T194" s="396"/>
      <c r="U194" s="396"/>
      <c r="V194" s="396"/>
      <c r="W194" s="396"/>
      <c r="X194" s="396"/>
      <c r="Y194" s="396"/>
      <c r="Z194" s="396"/>
    </row>
    <row r="195" ht="12.0" customHeight="1">
      <c r="A195" s="396"/>
      <c r="B195" s="427"/>
      <c r="C195" s="427"/>
      <c r="D195" s="396"/>
      <c r="E195" s="396"/>
      <c r="F195" s="396"/>
      <c r="G195" s="396"/>
      <c r="H195" s="396"/>
      <c r="I195" s="396"/>
      <c r="J195" s="396"/>
      <c r="K195" s="396"/>
      <c r="L195" s="396"/>
      <c r="M195" s="396"/>
      <c r="N195" s="396"/>
      <c r="O195" s="396"/>
      <c r="P195" s="396"/>
      <c r="Q195" s="396"/>
      <c r="R195" s="396"/>
      <c r="S195" s="396"/>
      <c r="T195" s="396"/>
      <c r="U195" s="396"/>
      <c r="V195" s="396"/>
      <c r="W195" s="396"/>
      <c r="X195" s="396"/>
      <c r="Y195" s="396"/>
      <c r="Z195" s="396"/>
    </row>
    <row r="196" ht="12.0" customHeight="1">
      <c r="A196" s="396"/>
      <c r="B196" s="427"/>
      <c r="C196" s="427"/>
      <c r="D196" s="396"/>
      <c r="E196" s="396"/>
      <c r="F196" s="396"/>
      <c r="G196" s="396"/>
      <c r="H196" s="396"/>
      <c r="I196" s="396"/>
      <c r="J196" s="396"/>
      <c r="K196" s="396"/>
      <c r="L196" s="396"/>
      <c r="M196" s="396"/>
      <c r="N196" s="396"/>
      <c r="O196" s="396"/>
      <c r="P196" s="396"/>
      <c r="Q196" s="396"/>
      <c r="R196" s="396"/>
      <c r="S196" s="396"/>
      <c r="T196" s="396"/>
      <c r="U196" s="396"/>
      <c r="V196" s="396"/>
      <c r="W196" s="396"/>
      <c r="X196" s="396"/>
      <c r="Y196" s="396"/>
      <c r="Z196" s="396"/>
    </row>
    <row r="197" ht="12.0" customHeight="1">
      <c r="A197" s="396"/>
      <c r="B197" s="427"/>
      <c r="C197" s="427"/>
      <c r="D197" s="396"/>
      <c r="E197" s="396"/>
      <c r="F197" s="396"/>
      <c r="G197" s="396"/>
      <c r="H197" s="396"/>
      <c r="I197" s="396"/>
      <c r="J197" s="396"/>
      <c r="K197" s="396"/>
      <c r="L197" s="396"/>
      <c r="M197" s="396"/>
      <c r="N197" s="396"/>
      <c r="O197" s="396"/>
      <c r="P197" s="396"/>
      <c r="Q197" s="396"/>
      <c r="R197" s="396"/>
      <c r="S197" s="396"/>
      <c r="T197" s="396"/>
      <c r="U197" s="396"/>
      <c r="V197" s="396"/>
      <c r="W197" s="396"/>
      <c r="X197" s="396"/>
      <c r="Y197" s="396"/>
      <c r="Z197" s="396"/>
    </row>
    <row r="198" ht="12.0" customHeight="1">
      <c r="A198" s="396"/>
      <c r="B198" s="427"/>
      <c r="C198" s="427"/>
      <c r="D198" s="396"/>
      <c r="E198" s="396"/>
      <c r="F198" s="396"/>
      <c r="G198" s="396"/>
      <c r="H198" s="396"/>
      <c r="I198" s="396"/>
      <c r="J198" s="396"/>
      <c r="K198" s="396"/>
      <c r="L198" s="396"/>
      <c r="M198" s="396"/>
      <c r="N198" s="396"/>
      <c r="O198" s="396"/>
      <c r="P198" s="396"/>
      <c r="Q198" s="396"/>
      <c r="R198" s="396"/>
      <c r="S198" s="396"/>
      <c r="T198" s="396"/>
      <c r="U198" s="396"/>
      <c r="V198" s="396"/>
      <c r="W198" s="396"/>
      <c r="X198" s="396"/>
      <c r="Y198" s="396"/>
      <c r="Z198" s="396"/>
    </row>
    <row r="199" ht="12.0" customHeight="1">
      <c r="A199" s="396"/>
      <c r="B199" s="427"/>
      <c r="C199" s="427"/>
      <c r="D199" s="396"/>
      <c r="E199" s="396"/>
      <c r="F199" s="396"/>
      <c r="G199" s="396"/>
      <c r="H199" s="396"/>
      <c r="I199" s="396"/>
      <c r="J199" s="396"/>
      <c r="K199" s="396"/>
      <c r="L199" s="396"/>
      <c r="M199" s="396"/>
      <c r="N199" s="396"/>
      <c r="O199" s="396"/>
      <c r="P199" s="396"/>
      <c r="Q199" s="396"/>
      <c r="R199" s="396"/>
      <c r="S199" s="396"/>
      <c r="T199" s="396"/>
      <c r="U199" s="396"/>
      <c r="V199" s="396"/>
      <c r="W199" s="396"/>
      <c r="X199" s="396"/>
      <c r="Y199" s="396"/>
      <c r="Z199" s="396"/>
    </row>
    <row r="200" ht="12.0" customHeight="1">
      <c r="A200" s="396"/>
      <c r="B200" s="427"/>
      <c r="C200" s="427"/>
      <c r="D200" s="396"/>
      <c r="E200" s="396"/>
      <c r="F200" s="396"/>
      <c r="G200" s="396"/>
      <c r="H200" s="396"/>
      <c r="I200" s="396"/>
      <c r="J200" s="396"/>
      <c r="K200" s="396"/>
      <c r="L200" s="396"/>
      <c r="M200" s="396"/>
      <c r="N200" s="396"/>
      <c r="O200" s="396"/>
      <c r="P200" s="396"/>
      <c r="Q200" s="396"/>
      <c r="R200" s="396"/>
      <c r="S200" s="396"/>
      <c r="T200" s="396"/>
      <c r="U200" s="396"/>
      <c r="V200" s="396"/>
      <c r="W200" s="396"/>
      <c r="X200" s="396"/>
      <c r="Y200" s="396"/>
      <c r="Z200" s="396"/>
    </row>
    <row r="201" ht="12.0" customHeight="1">
      <c r="A201" s="396"/>
      <c r="B201" s="427"/>
      <c r="C201" s="427"/>
      <c r="D201" s="396"/>
      <c r="E201" s="396"/>
      <c r="F201" s="396"/>
      <c r="G201" s="396"/>
      <c r="H201" s="396"/>
      <c r="I201" s="396"/>
      <c r="J201" s="396"/>
      <c r="K201" s="396"/>
      <c r="L201" s="396"/>
      <c r="M201" s="396"/>
      <c r="N201" s="396"/>
      <c r="O201" s="396"/>
      <c r="P201" s="396"/>
      <c r="Q201" s="396"/>
      <c r="R201" s="396"/>
      <c r="S201" s="396"/>
      <c r="T201" s="396"/>
      <c r="U201" s="396"/>
      <c r="V201" s="396"/>
      <c r="W201" s="396"/>
      <c r="X201" s="396"/>
      <c r="Y201" s="396"/>
      <c r="Z201" s="396"/>
    </row>
    <row r="202" ht="12.0" customHeight="1">
      <c r="A202" s="396"/>
      <c r="B202" s="427"/>
      <c r="C202" s="427"/>
      <c r="D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row>
    <row r="203" ht="12.0" customHeight="1">
      <c r="A203" s="396"/>
      <c r="B203" s="427"/>
      <c r="C203" s="427"/>
      <c r="D203" s="396"/>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row>
    <row r="204" ht="12.0" customHeight="1">
      <c r="A204" s="396"/>
      <c r="B204" s="427"/>
      <c r="C204" s="427"/>
      <c r="D204" s="396"/>
      <c r="E204" s="396"/>
      <c r="F204" s="396"/>
      <c r="G204" s="396"/>
      <c r="H204" s="396"/>
      <c r="I204" s="396"/>
      <c r="J204" s="396"/>
      <c r="K204" s="396"/>
      <c r="L204" s="396"/>
      <c r="M204" s="396"/>
      <c r="N204" s="396"/>
      <c r="O204" s="396"/>
      <c r="P204" s="396"/>
      <c r="Q204" s="396"/>
      <c r="R204" s="396"/>
      <c r="S204" s="396"/>
      <c r="T204" s="396"/>
      <c r="U204" s="396"/>
      <c r="V204" s="396"/>
      <c r="W204" s="396"/>
      <c r="X204" s="396"/>
      <c r="Y204" s="396"/>
      <c r="Z204" s="396"/>
    </row>
    <row r="205" ht="12.0" customHeight="1">
      <c r="A205" s="396"/>
      <c r="B205" s="427"/>
      <c r="C205" s="427"/>
      <c r="D205" s="396"/>
      <c r="E205" s="396"/>
      <c r="F205" s="396"/>
      <c r="G205" s="396"/>
      <c r="H205" s="396"/>
      <c r="I205" s="396"/>
      <c r="J205" s="396"/>
      <c r="K205" s="396"/>
      <c r="L205" s="396"/>
      <c r="M205" s="396"/>
      <c r="N205" s="396"/>
      <c r="O205" s="396"/>
      <c r="P205" s="396"/>
      <c r="Q205" s="396"/>
      <c r="R205" s="396"/>
      <c r="S205" s="396"/>
      <c r="T205" s="396"/>
      <c r="U205" s="396"/>
      <c r="V205" s="396"/>
      <c r="W205" s="396"/>
      <c r="X205" s="396"/>
      <c r="Y205" s="396"/>
      <c r="Z205" s="396"/>
    </row>
    <row r="206" ht="12.0" customHeight="1">
      <c r="A206" s="396"/>
      <c r="B206" s="427"/>
      <c r="C206" s="427"/>
      <c r="D206" s="396"/>
      <c r="E206" s="396"/>
      <c r="F206" s="396"/>
      <c r="G206" s="396"/>
      <c r="H206" s="396"/>
      <c r="I206" s="396"/>
      <c r="J206" s="396"/>
      <c r="K206" s="396"/>
      <c r="L206" s="396"/>
      <c r="M206" s="396"/>
      <c r="N206" s="396"/>
      <c r="O206" s="396"/>
      <c r="P206" s="396"/>
      <c r="Q206" s="396"/>
      <c r="R206" s="396"/>
      <c r="S206" s="396"/>
      <c r="T206" s="396"/>
      <c r="U206" s="396"/>
      <c r="V206" s="396"/>
      <c r="W206" s="396"/>
      <c r="X206" s="396"/>
      <c r="Y206" s="396"/>
      <c r="Z206" s="396"/>
    </row>
    <row r="207" ht="12.0" customHeight="1">
      <c r="A207" s="396"/>
      <c r="B207" s="427"/>
      <c r="C207" s="427"/>
      <c r="D207" s="396"/>
      <c r="E207" s="396"/>
      <c r="F207" s="396"/>
      <c r="G207" s="396"/>
      <c r="H207" s="396"/>
      <c r="I207" s="396"/>
      <c r="J207" s="396"/>
      <c r="K207" s="396"/>
      <c r="L207" s="396"/>
      <c r="M207" s="396"/>
      <c r="N207" s="396"/>
      <c r="O207" s="396"/>
      <c r="P207" s="396"/>
      <c r="Q207" s="396"/>
      <c r="R207" s="396"/>
      <c r="S207" s="396"/>
      <c r="T207" s="396"/>
      <c r="U207" s="396"/>
      <c r="V207" s="396"/>
      <c r="W207" s="396"/>
      <c r="X207" s="396"/>
      <c r="Y207" s="396"/>
      <c r="Z207" s="396"/>
    </row>
    <row r="208" ht="12.0" customHeight="1">
      <c r="A208" s="396"/>
      <c r="B208" s="427"/>
      <c r="C208" s="427"/>
      <c r="D208" s="396"/>
      <c r="E208" s="396"/>
      <c r="F208" s="396"/>
      <c r="G208" s="396"/>
      <c r="H208" s="396"/>
      <c r="I208" s="396"/>
      <c r="J208" s="396"/>
      <c r="K208" s="396"/>
      <c r="L208" s="396"/>
      <c r="M208" s="396"/>
      <c r="N208" s="396"/>
      <c r="O208" s="396"/>
      <c r="P208" s="396"/>
      <c r="Q208" s="396"/>
      <c r="R208" s="396"/>
      <c r="S208" s="396"/>
      <c r="T208" s="396"/>
      <c r="U208" s="396"/>
      <c r="V208" s="396"/>
      <c r="W208" s="396"/>
      <c r="X208" s="396"/>
      <c r="Y208" s="396"/>
      <c r="Z208" s="396"/>
    </row>
    <row r="209" ht="12.0" customHeight="1">
      <c r="A209" s="396"/>
      <c r="B209" s="427"/>
      <c r="C209" s="427"/>
      <c r="D209" s="396"/>
      <c r="E209" s="396"/>
      <c r="F209" s="396"/>
      <c r="G209" s="396"/>
      <c r="H209" s="396"/>
      <c r="I209" s="396"/>
      <c r="J209" s="396"/>
      <c r="K209" s="396"/>
      <c r="L209" s="396"/>
      <c r="M209" s="396"/>
      <c r="N209" s="396"/>
      <c r="O209" s="396"/>
      <c r="P209" s="396"/>
      <c r="Q209" s="396"/>
      <c r="R209" s="396"/>
      <c r="S209" s="396"/>
      <c r="T209" s="396"/>
      <c r="U209" s="396"/>
      <c r="V209" s="396"/>
      <c r="W209" s="396"/>
      <c r="X209" s="396"/>
      <c r="Y209" s="396"/>
      <c r="Z209" s="396"/>
    </row>
    <row r="210" ht="12.0" customHeight="1">
      <c r="A210" s="396"/>
      <c r="B210" s="427"/>
      <c r="C210" s="427"/>
      <c r="D210" s="396"/>
      <c r="E210" s="396"/>
      <c r="F210" s="396"/>
      <c r="G210" s="396"/>
      <c r="H210" s="396"/>
      <c r="I210" s="396"/>
      <c r="J210" s="396"/>
      <c r="K210" s="396"/>
      <c r="L210" s="396"/>
      <c r="M210" s="396"/>
      <c r="N210" s="396"/>
      <c r="O210" s="396"/>
      <c r="P210" s="396"/>
      <c r="Q210" s="396"/>
      <c r="R210" s="396"/>
      <c r="S210" s="396"/>
      <c r="T210" s="396"/>
      <c r="U210" s="396"/>
      <c r="V210" s="396"/>
      <c r="W210" s="396"/>
      <c r="X210" s="396"/>
      <c r="Y210" s="396"/>
      <c r="Z210" s="396"/>
    </row>
    <row r="211" ht="12.0" customHeight="1">
      <c r="A211" s="396"/>
      <c r="B211" s="427"/>
      <c r="C211" s="427"/>
      <c r="D211" s="396"/>
      <c r="E211" s="396"/>
      <c r="F211" s="396"/>
      <c r="G211" s="396"/>
      <c r="H211" s="396"/>
      <c r="I211" s="396"/>
      <c r="J211" s="396"/>
      <c r="K211" s="396"/>
      <c r="L211" s="396"/>
      <c r="M211" s="396"/>
      <c r="N211" s="396"/>
      <c r="O211" s="396"/>
      <c r="P211" s="396"/>
      <c r="Q211" s="396"/>
      <c r="R211" s="396"/>
      <c r="S211" s="396"/>
      <c r="T211" s="396"/>
      <c r="U211" s="396"/>
      <c r="V211" s="396"/>
      <c r="W211" s="396"/>
      <c r="X211" s="396"/>
      <c r="Y211" s="396"/>
      <c r="Z211" s="396"/>
    </row>
    <row r="212" ht="12.0" customHeight="1">
      <c r="A212" s="396"/>
      <c r="B212" s="427"/>
      <c r="C212" s="427"/>
      <c r="D212" s="396"/>
      <c r="E212" s="396"/>
      <c r="F212" s="396"/>
      <c r="G212" s="396"/>
      <c r="H212" s="396"/>
      <c r="I212" s="396"/>
      <c r="J212" s="396"/>
      <c r="K212" s="396"/>
      <c r="L212" s="396"/>
      <c r="M212" s="396"/>
      <c r="N212" s="396"/>
      <c r="O212" s="396"/>
      <c r="P212" s="396"/>
      <c r="Q212" s="396"/>
      <c r="R212" s="396"/>
      <c r="S212" s="396"/>
      <c r="T212" s="396"/>
      <c r="U212" s="396"/>
      <c r="V212" s="396"/>
      <c r="W212" s="396"/>
      <c r="X212" s="396"/>
      <c r="Y212" s="396"/>
      <c r="Z212" s="396"/>
    </row>
    <row r="213" ht="12.0" customHeight="1">
      <c r="A213" s="396"/>
      <c r="B213" s="427"/>
      <c r="C213" s="427"/>
      <c r="D213" s="396"/>
      <c r="E213" s="396"/>
      <c r="F213" s="396"/>
      <c r="G213" s="396"/>
      <c r="H213" s="396"/>
      <c r="I213" s="396"/>
      <c r="J213" s="396"/>
      <c r="K213" s="396"/>
      <c r="L213" s="396"/>
      <c r="M213" s="396"/>
      <c r="N213" s="396"/>
      <c r="O213" s="396"/>
      <c r="P213" s="396"/>
      <c r="Q213" s="396"/>
      <c r="R213" s="396"/>
      <c r="S213" s="396"/>
      <c r="T213" s="396"/>
      <c r="U213" s="396"/>
      <c r="V213" s="396"/>
      <c r="W213" s="396"/>
      <c r="X213" s="396"/>
      <c r="Y213" s="396"/>
      <c r="Z213" s="396"/>
    </row>
    <row r="214" ht="12.0" customHeight="1">
      <c r="A214" s="396"/>
      <c r="B214" s="427"/>
      <c r="C214" s="427"/>
      <c r="D214" s="396"/>
      <c r="E214" s="396"/>
      <c r="F214" s="396"/>
      <c r="G214" s="396"/>
      <c r="H214" s="396"/>
      <c r="I214" s="396"/>
      <c r="J214" s="396"/>
      <c r="K214" s="396"/>
      <c r="L214" s="396"/>
      <c r="M214" s="396"/>
      <c r="N214" s="396"/>
      <c r="O214" s="396"/>
      <c r="P214" s="396"/>
      <c r="Q214" s="396"/>
      <c r="R214" s="396"/>
      <c r="S214" s="396"/>
      <c r="T214" s="396"/>
      <c r="U214" s="396"/>
      <c r="V214" s="396"/>
      <c r="W214" s="396"/>
      <c r="X214" s="396"/>
      <c r="Y214" s="396"/>
      <c r="Z214" s="396"/>
    </row>
    <row r="215" ht="12.0" customHeight="1">
      <c r="A215" s="396"/>
      <c r="B215" s="427"/>
      <c r="C215" s="427"/>
      <c r="D215" s="396"/>
      <c r="E215" s="396"/>
      <c r="F215" s="396"/>
      <c r="G215" s="396"/>
      <c r="H215" s="396"/>
      <c r="I215" s="396"/>
      <c r="J215" s="396"/>
      <c r="K215" s="396"/>
      <c r="L215" s="396"/>
      <c r="M215" s="396"/>
      <c r="N215" s="396"/>
      <c r="O215" s="396"/>
      <c r="P215" s="396"/>
      <c r="Q215" s="396"/>
      <c r="R215" s="396"/>
      <c r="S215" s="396"/>
      <c r="T215" s="396"/>
      <c r="U215" s="396"/>
      <c r="V215" s="396"/>
      <c r="W215" s="396"/>
      <c r="X215" s="396"/>
      <c r="Y215" s="396"/>
      <c r="Z215" s="396"/>
    </row>
    <row r="216" ht="12.0" customHeight="1">
      <c r="A216" s="396"/>
      <c r="B216" s="427"/>
      <c r="C216" s="427"/>
      <c r="D216" s="396"/>
      <c r="E216" s="396"/>
      <c r="F216" s="396"/>
      <c r="G216" s="396"/>
      <c r="H216" s="396"/>
      <c r="I216" s="396"/>
      <c r="J216" s="396"/>
      <c r="K216" s="396"/>
      <c r="L216" s="396"/>
      <c r="M216" s="396"/>
      <c r="N216" s="396"/>
      <c r="O216" s="396"/>
      <c r="P216" s="396"/>
      <c r="Q216" s="396"/>
      <c r="R216" s="396"/>
      <c r="S216" s="396"/>
      <c r="T216" s="396"/>
      <c r="U216" s="396"/>
      <c r="V216" s="396"/>
      <c r="W216" s="396"/>
      <c r="X216" s="396"/>
      <c r="Y216" s="396"/>
      <c r="Z216" s="396"/>
    </row>
    <row r="217" ht="12.0" customHeight="1">
      <c r="A217" s="396"/>
      <c r="B217" s="427"/>
      <c r="C217" s="427"/>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0" customHeight="1">
      <c r="A218" s="396"/>
      <c r="B218" s="427"/>
      <c r="C218" s="427"/>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0" customHeight="1">
      <c r="A219" s="396"/>
      <c r="B219" s="427"/>
      <c r="C219" s="427"/>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0" customHeight="1">
      <c r="A220" s="396"/>
      <c r="B220" s="427"/>
      <c r="C220" s="427"/>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0" customHeight="1">
      <c r="A221" s="396"/>
      <c r="B221" s="427"/>
      <c r="C221" s="427"/>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0" customHeight="1">
      <c r="A222" s="396"/>
      <c r="B222" s="427"/>
      <c r="C222" s="427"/>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0" customHeight="1">
      <c r="A223" s="396"/>
      <c r="B223" s="427"/>
      <c r="C223" s="427"/>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0" customHeight="1">
      <c r="A224" s="396"/>
      <c r="B224" s="427"/>
      <c r="C224" s="427"/>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0" customHeight="1">
      <c r="A225" s="396"/>
      <c r="B225" s="427"/>
      <c r="C225" s="427"/>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0" customHeight="1">
      <c r="A226" s="396"/>
      <c r="B226" s="427"/>
      <c r="C226" s="427"/>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0" customHeight="1">
      <c r="A227" s="396"/>
      <c r="B227" s="427"/>
      <c r="C227" s="427"/>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0" customHeight="1">
      <c r="A228" s="396"/>
      <c r="B228" s="427"/>
      <c r="C228" s="427"/>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0" customHeight="1">
      <c r="A229" s="396"/>
      <c r="B229" s="427"/>
      <c r="C229" s="427"/>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0" customHeight="1">
      <c r="A230" s="396"/>
      <c r="B230" s="427"/>
      <c r="C230" s="427"/>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0" customHeight="1">
      <c r="A231" s="396"/>
      <c r="B231" s="427"/>
      <c r="C231" s="427"/>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0" customHeight="1">
      <c r="A232" s="396"/>
      <c r="B232" s="427"/>
      <c r="C232" s="427"/>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0" customHeight="1">
      <c r="A233" s="396"/>
      <c r="B233" s="427"/>
      <c r="C233" s="427"/>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0" customHeight="1">
      <c r="A234" s="396"/>
      <c r="B234" s="427"/>
      <c r="C234" s="427"/>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0" customHeight="1">
      <c r="A235" s="396"/>
      <c r="B235" s="427"/>
      <c r="C235" s="427"/>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0" customHeight="1">
      <c r="A236" s="396"/>
      <c r="B236" s="427"/>
      <c r="C236" s="427"/>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0" customHeight="1">
      <c r="A237" s="396"/>
      <c r="B237" s="427"/>
      <c r="C237" s="427"/>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0" customHeight="1">
      <c r="A238" s="396"/>
      <c r="B238" s="427"/>
      <c r="C238" s="427"/>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0" customHeight="1">
      <c r="A239" s="396"/>
      <c r="B239" s="427"/>
      <c r="C239" s="427"/>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0" customHeight="1">
      <c r="A240" s="396"/>
      <c r="B240" s="427"/>
      <c r="C240" s="427"/>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0" customHeight="1">
      <c r="A241" s="396"/>
      <c r="B241" s="427"/>
      <c r="C241" s="427"/>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0" customHeight="1">
      <c r="A242" s="396"/>
      <c r="B242" s="427"/>
      <c r="C242" s="427"/>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0" customHeight="1">
      <c r="A243" s="396"/>
      <c r="B243" s="427"/>
      <c r="C243" s="427"/>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0" customHeight="1">
      <c r="A244" s="396"/>
      <c r="B244" s="427"/>
      <c r="C244" s="427"/>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0" customHeight="1">
      <c r="A245" s="396"/>
      <c r="B245" s="427"/>
      <c r="C245" s="427"/>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0" customHeight="1">
      <c r="A246" s="396"/>
      <c r="B246" s="427"/>
      <c r="C246" s="427"/>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0" customHeight="1">
      <c r="A247" s="396"/>
      <c r="B247" s="427"/>
      <c r="C247" s="427"/>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0" customHeight="1">
      <c r="A248" s="396"/>
      <c r="B248" s="427"/>
      <c r="C248" s="427"/>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0" customHeight="1">
      <c r="A249" s="396"/>
      <c r="B249" s="427"/>
      <c r="C249" s="427"/>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0" customHeight="1">
      <c r="A250" s="396"/>
      <c r="B250" s="427"/>
      <c r="C250" s="427"/>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0" customHeight="1">
      <c r="A251" s="396"/>
      <c r="B251" s="427"/>
      <c r="C251" s="427"/>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0" customHeight="1">
      <c r="A252" s="396"/>
      <c r="B252" s="427"/>
      <c r="C252" s="427"/>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0" customHeight="1">
      <c r="A253" s="396"/>
      <c r="B253" s="427"/>
      <c r="C253" s="427"/>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0" customHeight="1">
      <c r="A254" s="396"/>
      <c r="B254" s="427"/>
      <c r="C254" s="427"/>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0" customHeight="1">
      <c r="A255" s="396"/>
      <c r="B255" s="427"/>
      <c r="C255" s="427"/>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0" customHeight="1">
      <c r="A256" s="396"/>
      <c r="B256" s="427"/>
      <c r="C256" s="427"/>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0" customHeight="1">
      <c r="A257" s="396"/>
      <c r="B257" s="427"/>
      <c r="C257" s="427"/>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0" customHeight="1">
      <c r="A258" s="396"/>
      <c r="B258" s="427"/>
      <c r="C258" s="427"/>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0" customHeight="1">
      <c r="A259" s="396"/>
      <c r="B259" s="427"/>
      <c r="C259" s="427"/>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0" customHeight="1">
      <c r="A260" s="396"/>
      <c r="B260" s="427"/>
      <c r="C260" s="427"/>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0" customHeight="1">
      <c r="A261" s="396"/>
      <c r="B261" s="427"/>
      <c r="C261" s="427"/>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0" customHeight="1">
      <c r="A262" s="396"/>
      <c r="B262" s="427"/>
      <c r="C262" s="427"/>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0" customHeight="1">
      <c r="A263" s="396"/>
      <c r="B263" s="427"/>
      <c r="C263" s="427"/>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0" customHeight="1">
      <c r="A264" s="396"/>
      <c r="B264" s="427"/>
      <c r="C264" s="427"/>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0" customHeight="1">
      <c r="A265" s="396"/>
      <c r="B265" s="427"/>
      <c r="C265" s="427"/>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0" customHeight="1">
      <c r="A266" s="396"/>
      <c r="B266" s="427"/>
      <c r="C266" s="427"/>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0" customHeight="1">
      <c r="A267" s="396"/>
      <c r="B267" s="427"/>
      <c r="C267" s="427"/>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0" customHeight="1">
      <c r="A268" s="396"/>
      <c r="B268" s="427"/>
      <c r="C268" s="427"/>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0" customHeight="1">
      <c r="A269" s="396"/>
      <c r="B269" s="427"/>
      <c r="C269" s="427"/>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0" customHeight="1">
      <c r="A270" s="396"/>
      <c r="B270" s="427"/>
      <c r="C270" s="427"/>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0" customHeight="1">
      <c r="A271" s="396"/>
      <c r="B271" s="427"/>
      <c r="C271" s="427"/>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0" customHeight="1">
      <c r="A272" s="396"/>
      <c r="B272" s="427"/>
      <c r="C272" s="427"/>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0" customHeight="1">
      <c r="A273" s="396"/>
      <c r="B273" s="427"/>
      <c r="C273" s="427"/>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0" customHeight="1">
      <c r="A274" s="396"/>
      <c r="B274" s="427"/>
      <c r="C274" s="427"/>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0" customHeight="1">
      <c r="A275" s="396"/>
      <c r="B275" s="427"/>
      <c r="C275" s="427"/>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0" customHeight="1">
      <c r="A276" s="396"/>
      <c r="B276" s="427"/>
      <c r="C276" s="427"/>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0" customHeight="1">
      <c r="A277" s="396"/>
      <c r="B277" s="427"/>
      <c r="C277" s="427"/>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0" customHeight="1">
      <c r="A278" s="396"/>
      <c r="B278" s="427"/>
      <c r="C278" s="427"/>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0" customHeight="1">
      <c r="A279" s="396"/>
      <c r="B279" s="427"/>
      <c r="C279" s="427"/>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0" customHeight="1">
      <c r="A280" s="396"/>
      <c r="B280" s="427"/>
      <c r="C280" s="427"/>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0" customHeight="1">
      <c r="A281" s="396"/>
      <c r="B281" s="427"/>
      <c r="C281" s="427"/>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0" customHeight="1">
      <c r="A282" s="396"/>
      <c r="B282" s="427"/>
      <c r="C282" s="427"/>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0" customHeight="1">
      <c r="A283" s="396"/>
      <c r="B283" s="427"/>
      <c r="C283" s="427"/>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0" customHeight="1">
      <c r="A284" s="396"/>
      <c r="B284" s="427"/>
      <c r="C284" s="427"/>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0" customHeight="1">
      <c r="A285" s="396"/>
      <c r="B285" s="427"/>
      <c r="C285" s="427"/>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0" customHeight="1">
      <c r="A286" s="396"/>
      <c r="B286" s="427"/>
      <c r="C286" s="427"/>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0" customHeight="1">
      <c r="A287" s="396"/>
      <c r="B287" s="427"/>
      <c r="C287" s="427"/>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0" customHeight="1">
      <c r="A288" s="396"/>
      <c r="B288" s="427"/>
      <c r="C288" s="427"/>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0" customHeight="1">
      <c r="A289" s="396"/>
      <c r="B289" s="427"/>
      <c r="C289" s="427"/>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0" customHeight="1">
      <c r="A290" s="396"/>
      <c r="B290" s="427"/>
      <c r="C290" s="427"/>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0" customHeight="1">
      <c r="A291" s="396"/>
      <c r="B291" s="427"/>
      <c r="C291" s="427"/>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0" customHeight="1">
      <c r="A292" s="396"/>
      <c r="B292" s="427"/>
      <c r="C292" s="427"/>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0" customHeight="1">
      <c r="A293" s="396"/>
      <c r="B293" s="427"/>
      <c r="C293" s="427"/>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0" customHeight="1">
      <c r="A294" s="396"/>
      <c r="B294" s="427"/>
      <c r="C294" s="427"/>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0" customHeight="1">
      <c r="A295" s="396"/>
      <c r="B295" s="427"/>
      <c r="C295" s="427"/>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0" customHeight="1">
      <c r="A296" s="396"/>
      <c r="B296" s="427"/>
      <c r="C296" s="427"/>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0" customHeight="1">
      <c r="A297" s="396"/>
      <c r="B297" s="427"/>
      <c r="C297" s="427"/>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0" customHeight="1">
      <c r="A298" s="396"/>
      <c r="B298" s="427"/>
      <c r="C298" s="427"/>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0" customHeight="1">
      <c r="A299" s="396"/>
      <c r="B299" s="427"/>
      <c r="C299" s="427"/>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0" customHeight="1">
      <c r="A300" s="396"/>
      <c r="B300" s="427"/>
      <c r="C300" s="427"/>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0" customHeight="1">
      <c r="A301" s="396"/>
      <c r="B301" s="427"/>
      <c r="C301" s="427"/>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0" customHeight="1">
      <c r="A302" s="396"/>
      <c r="B302" s="427"/>
      <c r="C302" s="427"/>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0" customHeight="1">
      <c r="A303" s="396"/>
      <c r="B303" s="427"/>
      <c r="C303" s="427"/>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0" customHeight="1">
      <c r="A304" s="396"/>
      <c r="B304" s="427"/>
      <c r="C304" s="427"/>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0" customHeight="1">
      <c r="A305" s="396"/>
      <c r="B305" s="427"/>
      <c r="C305" s="427"/>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0" customHeight="1">
      <c r="A306" s="396"/>
      <c r="B306" s="427"/>
      <c r="C306" s="427"/>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0" customHeight="1">
      <c r="A307" s="396"/>
      <c r="B307" s="427"/>
      <c r="C307" s="427"/>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0" customHeight="1">
      <c r="A308" s="396"/>
      <c r="B308" s="427"/>
      <c r="C308" s="427"/>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0" customHeight="1">
      <c r="A309" s="396"/>
      <c r="B309" s="427"/>
      <c r="C309" s="427"/>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0" customHeight="1">
      <c r="A310" s="396"/>
      <c r="B310" s="427"/>
      <c r="C310" s="427"/>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0" customHeight="1">
      <c r="A311" s="396"/>
      <c r="B311" s="427"/>
      <c r="C311" s="427"/>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0" customHeight="1">
      <c r="A312" s="396"/>
      <c r="B312" s="427"/>
      <c r="C312" s="427"/>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0" customHeight="1">
      <c r="A313" s="396"/>
      <c r="B313" s="427"/>
      <c r="C313" s="427"/>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0" customHeight="1">
      <c r="A314" s="396"/>
      <c r="B314" s="427"/>
      <c r="C314" s="427"/>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0" customHeight="1">
      <c r="A315" s="396"/>
      <c r="B315" s="427"/>
      <c r="C315" s="427"/>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0" customHeight="1">
      <c r="A316" s="396"/>
      <c r="B316" s="427"/>
      <c r="C316" s="427"/>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0" customHeight="1">
      <c r="A317" s="396"/>
      <c r="B317" s="427"/>
      <c r="C317" s="427"/>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0" customHeight="1">
      <c r="A318" s="396"/>
      <c r="B318" s="427"/>
      <c r="C318" s="427"/>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0" customHeight="1">
      <c r="A319" s="396"/>
      <c r="B319" s="427"/>
      <c r="C319" s="427"/>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0" customHeight="1">
      <c r="A320" s="396"/>
      <c r="B320" s="427"/>
      <c r="C320" s="427"/>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0" customHeight="1">
      <c r="A321" s="396"/>
      <c r="B321" s="427"/>
      <c r="C321" s="427"/>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0" customHeight="1">
      <c r="A322" s="396"/>
      <c r="B322" s="427"/>
      <c r="C322" s="427"/>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0" customHeight="1">
      <c r="A323" s="396"/>
      <c r="B323" s="427"/>
      <c r="C323" s="427"/>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0" customHeight="1">
      <c r="A324" s="396"/>
      <c r="B324" s="427"/>
      <c r="C324" s="427"/>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0" customHeight="1">
      <c r="A325" s="396"/>
      <c r="B325" s="427"/>
      <c r="C325" s="427"/>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0" customHeight="1">
      <c r="A326" s="396"/>
      <c r="B326" s="427"/>
      <c r="C326" s="427"/>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0" customHeight="1">
      <c r="A327" s="396"/>
      <c r="B327" s="427"/>
      <c r="C327" s="427"/>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0" customHeight="1">
      <c r="A328" s="396"/>
      <c r="B328" s="427"/>
      <c r="C328" s="427"/>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0" customHeight="1">
      <c r="A329" s="396"/>
      <c r="B329" s="427"/>
      <c r="C329" s="427"/>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0" customHeight="1">
      <c r="A330" s="396"/>
      <c r="B330" s="427"/>
      <c r="C330" s="427"/>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0" customHeight="1">
      <c r="A331" s="396"/>
      <c r="B331" s="427"/>
      <c r="C331" s="427"/>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0" customHeight="1">
      <c r="A332" s="396"/>
      <c r="B332" s="427"/>
      <c r="C332" s="427"/>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0" customHeight="1">
      <c r="A333" s="396"/>
      <c r="B333" s="427"/>
      <c r="C333" s="427"/>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0" customHeight="1">
      <c r="A334" s="396"/>
      <c r="B334" s="427"/>
      <c r="C334" s="427"/>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0" customHeight="1">
      <c r="A335" s="396"/>
      <c r="B335" s="427"/>
      <c r="C335" s="427"/>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0" customHeight="1">
      <c r="A336" s="396"/>
      <c r="B336" s="427"/>
      <c r="C336" s="427"/>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0" customHeight="1">
      <c r="A337" s="396"/>
      <c r="B337" s="427"/>
      <c r="C337" s="427"/>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0" customHeight="1">
      <c r="A338" s="396"/>
      <c r="B338" s="427"/>
      <c r="C338" s="427"/>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0" customHeight="1">
      <c r="A339" s="396"/>
      <c r="B339" s="427"/>
      <c r="C339" s="427"/>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0" customHeight="1">
      <c r="A340" s="396"/>
      <c r="B340" s="427"/>
      <c r="C340" s="427"/>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0" customHeight="1">
      <c r="A341" s="396"/>
      <c r="B341" s="427"/>
      <c r="C341" s="427"/>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0" customHeight="1">
      <c r="A342" s="396"/>
      <c r="B342" s="427"/>
      <c r="C342" s="427"/>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0" customHeight="1">
      <c r="A343" s="396"/>
      <c r="B343" s="427"/>
      <c r="C343" s="427"/>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0" customHeight="1">
      <c r="A344" s="396"/>
      <c r="B344" s="427"/>
      <c r="C344" s="427"/>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0" customHeight="1">
      <c r="A345" s="396"/>
      <c r="B345" s="427"/>
      <c r="C345" s="427"/>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0" customHeight="1">
      <c r="A346" s="396"/>
      <c r="B346" s="427"/>
      <c r="C346" s="427"/>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0" customHeight="1">
      <c r="A347" s="396"/>
      <c r="B347" s="427"/>
      <c r="C347" s="427"/>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0" customHeight="1">
      <c r="A348" s="396"/>
      <c r="B348" s="427"/>
      <c r="C348" s="427"/>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0" customHeight="1">
      <c r="A349" s="396"/>
      <c r="B349" s="427"/>
      <c r="C349" s="427"/>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0" customHeight="1">
      <c r="A350" s="396"/>
      <c r="B350" s="427"/>
      <c r="C350" s="427"/>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0" customHeight="1">
      <c r="A351" s="396"/>
      <c r="B351" s="427"/>
      <c r="C351" s="427"/>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0" customHeight="1">
      <c r="A352" s="396"/>
      <c r="B352" s="427"/>
      <c r="C352" s="427"/>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0" customHeight="1">
      <c r="A353" s="396"/>
      <c r="B353" s="427"/>
      <c r="C353" s="427"/>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0" customHeight="1">
      <c r="A354" s="396"/>
      <c r="B354" s="427"/>
      <c r="C354" s="427"/>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0" customHeight="1">
      <c r="A355" s="396"/>
      <c r="B355" s="427"/>
      <c r="C355" s="427"/>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0" customHeight="1">
      <c r="A356" s="396"/>
      <c r="B356" s="427"/>
      <c r="C356" s="427"/>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0" customHeight="1">
      <c r="A357" s="396"/>
      <c r="B357" s="427"/>
      <c r="C357" s="427"/>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0" customHeight="1">
      <c r="A358" s="396"/>
      <c r="B358" s="427"/>
      <c r="C358" s="427"/>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0" customHeight="1">
      <c r="A359" s="396"/>
      <c r="B359" s="427"/>
      <c r="C359" s="427"/>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0" customHeight="1">
      <c r="A360" s="396"/>
      <c r="B360" s="427"/>
      <c r="C360" s="427"/>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0" customHeight="1">
      <c r="A361" s="396"/>
      <c r="B361" s="427"/>
      <c r="C361" s="427"/>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0" customHeight="1">
      <c r="A362" s="396"/>
      <c r="B362" s="427"/>
      <c r="C362" s="427"/>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0" customHeight="1">
      <c r="A363" s="396"/>
      <c r="B363" s="427"/>
      <c r="C363" s="427"/>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0" customHeight="1">
      <c r="A364" s="396"/>
      <c r="B364" s="427"/>
      <c r="C364" s="427"/>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0" customHeight="1">
      <c r="A365" s="396"/>
      <c r="B365" s="427"/>
      <c r="C365" s="427"/>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0" customHeight="1">
      <c r="A366" s="396"/>
      <c r="B366" s="427"/>
      <c r="C366" s="427"/>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0" customHeight="1">
      <c r="A367" s="396"/>
      <c r="B367" s="427"/>
      <c r="C367" s="427"/>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0" customHeight="1">
      <c r="A368" s="396"/>
      <c r="B368" s="427"/>
      <c r="C368" s="427"/>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0" customHeight="1">
      <c r="A369" s="396"/>
      <c r="B369" s="427"/>
      <c r="C369" s="427"/>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0" customHeight="1">
      <c r="A370" s="396"/>
      <c r="B370" s="427"/>
      <c r="C370" s="427"/>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0" customHeight="1">
      <c r="A371" s="396"/>
      <c r="B371" s="427"/>
      <c r="C371" s="427"/>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0" customHeight="1">
      <c r="A372" s="396"/>
      <c r="B372" s="427"/>
      <c r="C372" s="427"/>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0" customHeight="1">
      <c r="A373" s="396"/>
      <c r="B373" s="427"/>
      <c r="C373" s="427"/>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0" customHeight="1">
      <c r="A374" s="396"/>
      <c r="B374" s="427"/>
      <c r="C374" s="427"/>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0" customHeight="1">
      <c r="A375" s="396"/>
      <c r="B375" s="427"/>
      <c r="C375" s="427"/>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0" customHeight="1">
      <c r="A376" s="396"/>
      <c r="B376" s="427"/>
      <c r="C376" s="427"/>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0" customHeight="1">
      <c r="A377" s="396"/>
      <c r="B377" s="427"/>
      <c r="C377" s="427"/>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0" customHeight="1">
      <c r="A378" s="396"/>
      <c r="B378" s="427"/>
      <c r="C378" s="427"/>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0" customHeight="1">
      <c r="A379" s="396"/>
      <c r="B379" s="427"/>
      <c r="C379" s="427"/>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0" customHeight="1">
      <c r="A380" s="396"/>
      <c r="B380" s="427"/>
      <c r="C380" s="427"/>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0" customHeight="1">
      <c r="A381" s="396"/>
      <c r="B381" s="427"/>
      <c r="C381" s="427"/>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0" customHeight="1">
      <c r="A382" s="396"/>
      <c r="B382" s="427"/>
      <c r="C382" s="427"/>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0" customHeight="1">
      <c r="A383" s="396"/>
      <c r="B383" s="427"/>
      <c r="C383" s="427"/>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0" customHeight="1">
      <c r="A384" s="396"/>
      <c r="B384" s="427"/>
      <c r="C384" s="427"/>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0" customHeight="1">
      <c r="A385" s="396"/>
      <c r="B385" s="427"/>
      <c r="C385" s="427"/>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0" customHeight="1">
      <c r="A386" s="396"/>
      <c r="B386" s="427"/>
      <c r="C386" s="427"/>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0" customHeight="1">
      <c r="A387" s="396"/>
      <c r="B387" s="427"/>
      <c r="C387" s="427"/>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0" customHeight="1">
      <c r="A388" s="396"/>
      <c r="B388" s="427"/>
      <c r="C388" s="427"/>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0" customHeight="1">
      <c r="A389" s="396"/>
      <c r="B389" s="427"/>
      <c r="C389" s="427"/>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0" customHeight="1">
      <c r="A390" s="396"/>
      <c r="B390" s="427"/>
      <c r="C390" s="427"/>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0" customHeight="1">
      <c r="A391" s="396"/>
      <c r="B391" s="427"/>
      <c r="C391" s="427"/>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0" customHeight="1">
      <c r="A392" s="396"/>
      <c r="B392" s="427"/>
      <c r="C392" s="427"/>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0" customHeight="1">
      <c r="A393" s="396"/>
      <c r="B393" s="427"/>
      <c r="C393" s="427"/>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0" customHeight="1">
      <c r="A394" s="396"/>
      <c r="B394" s="427"/>
      <c r="C394" s="427"/>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0" customHeight="1">
      <c r="A395" s="396"/>
      <c r="B395" s="427"/>
      <c r="C395" s="427"/>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0" customHeight="1">
      <c r="A396" s="396"/>
      <c r="B396" s="427"/>
      <c r="C396" s="427"/>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0" customHeight="1">
      <c r="A397" s="396"/>
      <c r="B397" s="427"/>
      <c r="C397" s="427"/>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0" customHeight="1">
      <c r="A398" s="396"/>
      <c r="B398" s="427"/>
      <c r="C398" s="427"/>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0" customHeight="1">
      <c r="A399" s="396"/>
      <c r="B399" s="427"/>
      <c r="C399" s="427"/>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0" customHeight="1">
      <c r="A400" s="396"/>
      <c r="B400" s="427"/>
      <c r="C400" s="427"/>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0" customHeight="1">
      <c r="A401" s="396"/>
      <c r="B401" s="427"/>
      <c r="C401" s="427"/>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0" customHeight="1">
      <c r="A402" s="396"/>
      <c r="B402" s="427"/>
      <c r="C402" s="427"/>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0" customHeight="1">
      <c r="A403" s="396"/>
      <c r="B403" s="427"/>
      <c r="C403" s="427"/>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0" customHeight="1">
      <c r="A404" s="396"/>
      <c r="B404" s="427"/>
      <c r="C404" s="427"/>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0" customHeight="1">
      <c r="A405" s="396"/>
      <c r="B405" s="427"/>
      <c r="C405" s="427"/>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0" customHeight="1">
      <c r="A406" s="396"/>
      <c r="B406" s="427"/>
      <c r="C406" s="427"/>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0" customHeight="1">
      <c r="A407" s="396"/>
      <c r="B407" s="427"/>
      <c r="C407" s="427"/>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0" customHeight="1">
      <c r="A408" s="396"/>
      <c r="B408" s="427"/>
      <c r="C408" s="427"/>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0" customHeight="1">
      <c r="A409" s="396"/>
      <c r="B409" s="427"/>
      <c r="C409" s="427"/>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0" customHeight="1">
      <c r="A410" s="396"/>
      <c r="B410" s="427"/>
      <c r="C410" s="427"/>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0" customHeight="1">
      <c r="A411" s="396"/>
      <c r="B411" s="427"/>
      <c r="C411" s="427"/>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0" customHeight="1">
      <c r="A412" s="396"/>
      <c r="B412" s="427"/>
      <c r="C412" s="427"/>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0" customHeight="1">
      <c r="A413" s="396"/>
      <c r="B413" s="427"/>
      <c r="C413" s="427"/>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0" customHeight="1">
      <c r="A414" s="396"/>
      <c r="B414" s="427"/>
      <c r="C414" s="427"/>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0" customHeight="1">
      <c r="A415" s="396"/>
      <c r="B415" s="427"/>
      <c r="C415" s="427"/>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0" customHeight="1">
      <c r="A416" s="396"/>
      <c r="B416" s="427"/>
      <c r="C416" s="427"/>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0" customHeight="1">
      <c r="A417" s="396"/>
      <c r="B417" s="427"/>
      <c r="C417" s="427"/>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0" customHeight="1">
      <c r="A418" s="396"/>
      <c r="B418" s="427"/>
      <c r="C418" s="427"/>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0" customHeight="1">
      <c r="A419" s="396"/>
      <c r="B419" s="427"/>
      <c r="C419" s="427"/>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0" customHeight="1">
      <c r="A420" s="396"/>
      <c r="B420" s="427"/>
      <c r="C420" s="427"/>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0" customHeight="1">
      <c r="A421" s="396"/>
      <c r="B421" s="427"/>
      <c r="C421" s="427"/>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0" customHeight="1">
      <c r="A422" s="396"/>
      <c r="B422" s="427"/>
      <c r="C422" s="427"/>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0" customHeight="1">
      <c r="A423" s="396"/>
      <c r="B423" s="427"/>
      <c r="C423" s="427"/>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0" customHeight="1">
      <c r="A424" s="396"/>
      <c r="B424" s="427"/>
      <c r="C424" s="427"/>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0" customHeight="1">
      <c r="A425" s="396"/>
      <c r="B425" s="427"/>
      <c r="C425" s="427"/>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0" customHeight="1">
      <c r="A426" s="396"/>
      <c r="B426" s="427"/>
      <c r="C426" s="427"/>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0" customHeight="1">
      <c r="A427" s="396"/>
      <c r="B427" s="427"/>
      <c r="C427" s="427"/>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0" customHeight="1">
      <c r="A428" s="396"/>
      <c r="B428" s="427"/>
      <c r="C428" s="427"/>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0" customHeight="1">
      <c r="A429" s="396"/>
      <c r="B429" s="427"/>
      <c r="C429" s="427"/>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0" customHeight="1">
      <c r="A430" s="396"/>
      <c r="B430" s="427"/>
      <c r="C430" s="427"/>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0" customHeight="1">
      <c r="A431" s="396"/>
      <c r="B431" s="427"/>
      <c r="C431" s="427"/>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0" customHeight="1">
      <c r="A432" s="396"/>
      <c r="B432" s="427"/>
      <c r="C432" s="427"/>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0" customHeight="1">
      <c r="A433" s="396"/>
      <c r="B433" s="427"/>
      <c r="C433" s="427"/>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0" customHeight="1">
      <c r="A434" s="396"/>
      <c r="B434" s="427"/>
      <c r="C434" s="427"/>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0" customHeight="1">
      <c r="A435" s="396"/>
      <c r="B435" s="427"/>
      <c r="C435" s="427"/>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0" customHeight="1">
      <c r="A436" s="396"/>
      <c r="B436" s="427"/>
      <c r="C436" s="427"/>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0" customHeight="1">
      <c r="A437" s="396"/>
      <c r="B437" s="427"/>
      <c r="C437" s="427"/>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0" customHeight="1">
      <c r="A438" s="396"/>
      <c r="B438" s="427"/>
      <c r="C438" s="427"/>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0" customHeight="1">
      <c r="A439" s="396"/>
      <c r="B439" s="427"/>
      <c r="C439" s="427"/>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0" customHeight="1">
      <c r="A440" s="396"/>
      <c r="B440" s="427"/>
      <c r="C440" s="427"/>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0" customHeight="1">
      <c r="A441" s="396"/>
      <c r="B441" s="427"/>
      <c r="C441" s="427"/>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0" customHeight="1">
      <c r="A442" s="396"/>
      <c r="B442" s="427"/>
      <c r="C442" s="427"/>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0" customHeight="1">
      <c r="A443" s="396"/>
      <c r="B443" s="427"/>
      <c r="C443" s="427"/>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0" customHeight="1">
      <c r="A444" s="396"/>
      <c r="B444" s="427"/>
      <c r="C444" s="427"/>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0" customHeight="1">
      <c r="A445" s="396"/>
      <c r="B445" s="427"/>
      <c r="C445" s="427"/>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0" customHeight="1">
      <c r="A446" s="396"/>
      <c r="B446" s="427"/>
      <c r="C446" s="427"/>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0" customHeight="1">
      <c r="A447" s="396"/>
      <c r="B447" s="427"/>
      <c r="C447" s="427"/>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0" customHeight="1">
      <c r="A448" s="396"/>
      <c r="B448" s="427"/>
      <c r="C448" s="427"/>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0" customHeight="1">
      <c r="A449" s="396"/>
      <c r="B449" s="427"/>
      <c r="C449" s="427"/>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0" customHeight="1">
      <c r="A450" s="396"/>
      <c r="B450" s="427"/>
      <c r="C450" s="427"/>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0" customHeight="1">
      <c r="A451" s="396"/>
      <c r="B451" s="427"/>
      <c r="C451" s="427"/>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0" customHeight="1">
      <c r="A452" s="396"/>
      <c r="B452" s="427"/>
      <c r="C452" s="427"/>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0" customHeight="1">
      <c r="A453" s="396"/>
      <c r="B453" s="427"/>
      <c r="C453" s="427"/>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0" customHeight="1">
      <c r="A454" s="396"/>
      <c r="B454" s="427"/>
      <c r="C454" s="427"/>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0" customHeight="1">
      <c r="A455" s="396"/>
      <c r="B455" s="427"/>
      <c r="C455" s="427"/>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0" customHeight="1">
      <c r="A456" s="396"/>
      <c r="B456" s="427"/>
      <c r="C456" s="427"/>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0" customHeight="1">
      <c r="A457" s="396"/>
      <c r="B457" s="427"/>
      <c r="C457" s="427"/>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0" customHeight="1">
      <c r="A458" s="396"/>
      <c r="B458" s="427"/>
      <c r="C458" s="427"/>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0" customHeight="1">
      <c r="A459" s="396"/>
      <c r="B459" s="427"/>
      <c r="C459" s="427"/>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0" customHeight="1">
      <c r="A460" s="396"/>
      <c r="B460" s="427"/>
      <c r="C460" s="427"/>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0" customHeight="1">
      <c r="A461" s="396"/>
      <c r="B461" s="427"/>
      <c r="C461" s="427"/>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0" customHeight="1">
      <c r="A462" s="396"/>
      <c r="B462" s="427"/>
      <c r="C462" s="427"/>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0" customHeight="1">
      <c r="A463" s="396"/>
      <c r="B463" s="427"/>
      <c r="C463" s="427"/>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0" customHeight="1">
      <c r="A464" s="396"/>
      <c r="B464" s="427"/>
      <c r="C464" s="427"/>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0" customHeight="1">
      <c r="A465" s="396"/>
      <c r="B465" s="427"/>
      <c r="C465" s="427"/>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0" customHeight="1">
      <c r="A466" s="396"/>
      <c r="B466" s="427"/>
      <c r="C466" s="427"/>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0" customHeight="1">
      <c r="A467" s="396"/>
      <c r="B467" s="427"/>
      <c r="C467" s="427"/>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0" customHeight="1">
      <c r="A468" s="396"/>
      <c r="B468" s="427"/>
      <c r="C468" s="427"/>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0" customHeight="1">
      <c r="A469" s="396"/>
      <c r="B469" s="427"/>
      <c r="C469" s="427"/>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0" customHeight="1">
      <c r="A470" s="396"/>
      <c r="B470" s="427"/>
      <c r="C470" s="427"/>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0" customHeight="1">
      <c r="A471" s="396"/>
      <c r="B471" s="427"/>
      <c r="C471" s="427"/>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0" customHeight="1">
      <c r="A472" s="396"/>
      <c r="B472" s="427"/>
      <c r="C472" s="427"/>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0" customHeight="1">
      <c r="A473" s="396"/>
      <c r="B473" s="427"/>
      <c r="C473" s="427"/>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0" customHeight="1">
      <c r="A474" s="396"/>
      <c r="B474" s="427"/>
      <c r="C474" s="427"/>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0" customHeight="1">
      <c r="A475" s="396"/>
      <c r="B475" s="427"/>
      <c r="C475" s="427"/>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0" customHeight="1">
      <c r="A476" s="396"/>
      <c r="B476" s="427"/>
      <c r="C476" s="427"/>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0" customHeight="1">
      <c r="A477" s="396"/>
      <c r="B477" s="427"/>
      <c r="C477" s="427"/>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0" customHeight="1">
      <c r="A478" s="396"/>
      <c r="B478" s="427"/>
      <c r="C478" s="427"/>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0" customHeight="1">
      <c r="A479" s="396"/>
      <c r="B479" s="427"/>
      <c r="C479" s="427"/>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0" customHeight="1">
      <c r="A480" s="396"/>
      <c r="B480" s="427"/>
      <c r="C480" s="427"/>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0" customHeight="1">
      <c r="A481" s="396"/>
      <c r="B481" s="427"/>
      <c r="C481" s="427"/>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0" customHeight="1">
      <c r="A482" s="396"/>
      <c r="B482" s="427"/>
      <c r="C482" s="427"/>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0" customHeight="1">
      <c r="A483" s="396"/>
      <c r="B483" s="427"/>
      <c r="C483" s="427"/>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0" customHeight="1">
      <c r="A484" s="396"/>
      <c r="B484" s="427"/>
      <c r="C484" s="427"/>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0" customHeight="1">
      <c r="A485" s="396"/>
      <c r="B485" s="427"/>
      <c r="C485" s="427"/>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0" customHeight="1">
      <c r="A486" s="396"/>
      <c r="B486" s="427"/>
      <c r="C486" s="427"/>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0" customHeight="1">
      <c r="A487" s="396"/>
      <c r="B487" s="427"/>
      <c r="C487" s="427"/>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0" customHeight="1">
      <c r="A488" s="396"/>
      <c r="B488" s="427"/>
      <c r="C488" s="427"/>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0" customHeight="1">
      <c r="A489" s="396"/>
      <c r="B489" s="427"/>
      <c r="C489" s="427"/>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0" customHeight="1">
      <c r="A490" s="396"/>
      <c r="B490" s="427"/>
      <c r="C490" s="427"/>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0" customHeight="1">
      <c r="A491" s="396"/>
      <c r="B491" s="427"/>
      <c r="C491" s="427"/>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0" customHeight="1">
      <c r="A492" s="396"/>
      <c r="B492" s="427"/>
      <c r="C492" s="427"/>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0" customHeight="1">
      <c r="A493" s="396"/>
      <c r="B493" s="427"/>
      <c r="C493" s="427"/>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0" customHeight="1">
      <c r="A494" s="396"/>
      <c r="B494" s="427"/>
      <c r="C494" s="427"/>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0" customHeight="1">
      <c r="A495" s="396"/>
      <c r="B495" s="427"/>
      <c r="C495" s="427"/>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0" customHeight="1">
      <c r="A496" s="396"/>
      <c r="B496" s="427"/>
      <c r="C496" s="427"/>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0" customHeight="1">
      <c r="A497" s="396"/>
      <c r="B497" s="427"/>
      <c r="C497" s="427"/>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0" customHeight="1">
      <c r="A498" s="396"/>
      <c r="B498" s="427"/>
      <c r="C498" s="427"/>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0" customHeight="1">
      <c r="A499" s="396"/>
      <c r="B499" s="427"/>
      <c r="C499" s="427"/>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0" customHeight="1">
      <c r="A500" s="396"/>
      <c r="B500" s="427"/>
      <c r="C500" s="427"/>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0" customHeight="1">
      <c r="A501" s="396"/>
      <c r="B501" s="427"/>
      <c r="C501" s="427"/>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0" customHeight="1">
      <c r="A502" s="396"/>
      <c r="B502" s="427"/>
      <c r="C502" s="427"/>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0" customHeight="1">
      <c r="A503" s="396"/>
      <c r="B503" s="427"/>
      <c r="C503" s="427"/>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0" customHeight="1">
      <c r="A504" s="396"/>
      <c r="B504" s="427"/>
      <c r="C504" s="427"/>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0" customHeight="1">
      <c r="A505" s="396"/>
      <c r="B505" s="427"/>
      <c r="C505" s="427"/>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0" customHeight="1">
      <c r="A506" s="396"/>
      <c r="B506" s="427"/>
      <c r="C506" s="427"/>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0" customHeight="1">
      <c r="A507" s="396"/>
      <c r="B507" s="427"/>
      <c r="C507" s="427"/>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0" customHeight="1">
      <c r="A508" s="396"/>
      <c r="B508" s="427"/>
      <c r="C508" s="427"/>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0" customHeight="1">
      <c r="A509" s="396"/>
      <c r="B509" s="427"/>
      <c r="C509" s="427"/>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0" customHeight="1">
      <c r="A510" s="396"/>
      <c r="B510" s="427"/>
      <c r="C510" s="427"/>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0" customHeight="1">
      <c r="A511" s="396"/>
      <c r="B511" s="427"/>
      <c r="C511" s="427"/>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0" customHeight="1">
      <c r="A512" s="396"/>
      <c r="B512" s="427"/>
      <c r="C512" s="427"/>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0" customHeight="1">
      <c r="A513" s="396"/>
      <c r="B513" s="427"/>
      <c r="C513" s="427"/>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0" customHeight="1">
      <c r="A514" s="396"/>
      <c r="B514" s="427"/>
      <c r="C514" s="427"/>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0" customHeight="1">
      <c r="A515" s="396"/>
      <c r="B515" s="427"/>
      <c r="C515" s="427"/>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0" customHeight="1">
      <c r="A516" s="396"/>
      <c r="B516" s="427"/>
      <c r="C516" s="427"/>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0" customHeight="1">
      <c r="A517" s="396"/>
      <c r="B517" s="427"/>
      <c r="C517" s="427"/>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0" customHeight="1">
      <c r="A518" s="396"/>
      <c r="B518" s="427"/>
      <c r="C518" s="427"/>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0" customHeight="1">
      <c r="A519" s="396"/>
      <c r="B519" s="427"/>
      <c r="C519" s="427"/>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0" customHeight="1">
      <c r="A520" s="396"/>
      <c r="B520" s="427"/>
      <c r="C520" s="427"/>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0" customHeight="1">
      <c r="A521" s="396"/>
      <c r="B521" s="427"/>
      <c r="C521" s="427"/>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0" customHeight="1">
      <c r="A522" s="396"/>
      <c r="B522" s="427"/>
      <c r="C522" s="427"/>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0" customHeight="1">
      <c r="A523" s="396"/>
      <c r="B523" s="427"/>
      <c r="C523" s="427"/>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0" customHeight="1">
      <c r="A524" s="396"/>
      <c r="B524" s="427"/>
      <c r="C524" s="427"/>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0" customHeight="1">
      <c r="A525" s="396"/>
      <c r="B525" s="427"/>
      <c r="C525" s="427"/>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0" customHeight="1">
      <c r="A526" s="396"/>
      <c r="B526" s="427"/>
      <c r="C526" s="427"/>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0" customHeight="1">
      <c r="A527" s="396"/>
      <c r="B527" s="427"/>
      <c r="C527" s="427"/>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0" customHeight="1">
      <c r="A528" s="396"/>
      <c r="B528" s="427"/>
      <c r="C528" s="427"/>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0" customHeight="1">
      <c r="A529" s="396"/>
      <c r="B529" s="427"/>
      <c r="C529" s="427"/>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0" customHeight="1">
      <c r="A530" s="396"/>
      <c r="B530" s="427"/>
      <c r="C530" s="427"/>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0" customHeight="1">
      <c r="A531" s="396"/>
      <c r="B531" s="427"/>
      <c r="C531" s="427"/>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0" customHeight="1">
      <c r="A532" s="396"/>
      <c r="B532" s="427"/>
      <c r="C532" s="427"/>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0" customHeight="1">
      <c r="A533" s="396"/>
      <c r="B533" s="427"/>
      <c r="C533" s="427"/>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0" customHeight="1">
      <c r="A534" s="396"/>
      <c r="B534" s="427"/>
      <c r="C534" s="427"/>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0" customHeight="1">
      <c r="A535" s="396"/>
      <c r="B535" s="427"/>
      <c r="C535" s="427"/>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0" customHeight="1">
      <c r="A536" s="396"/>
      <c r="B536" s="427"/>
      <c r="C536" s="427"/>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0" customHeight="1">
      <c r="A537" s="396"/>
      <c r="B537" s="427"/>
      <c r="C537" s="427"/>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0" customHeight="1">
      <c r="A538" s="396"/>
      <c r="B538" s="427"/>
      <c r="C538" s="427"/>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0" customHeight="1">
      <c r="A539" s="396"/>
      <c r="B539" s="427"/>
      <c r="C539" s="427"/>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0" customHeight="1">
      <c r="A540" s="396"/>
      <c r="B540" s="427"/>
      <c r="C540" s="427"/>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0" customHeight="1">
      <c r="A541" s="396"/>
      <c r="B541" s="427"/>
      <c r="C541" s="427"/>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0" customHeight="1">
      <c r="A542" s="396"/>
      <c r="B542" s="427"/>
      <c r="C542" s="427"/>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0" customHeight="1">
      <c r="A543" s="396"/>
      <c r="B543" s="427"/>
      <c r="C543" s="427"/>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0" customHeight="1">
      <c r="A544" s="396"/>
      <c r="B544" s="427"/>
      <c r="C544" s="427"/>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0" customHeight="1">
      <c r="A545" s="396"/>
      <c r="B545" s="427"/>
      <c r="C545" s="427"/>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0" customHeight="1">
      <c r="A546" s="396"/>
      <c r="B546" s="427"/>
      <c r="C546" s="427"/>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0" customHeight="1">
      <c r="A547" s="396"/>
      <c r="B547" s="427"/>
      <c r="C547" s="427"/>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0" customHeight="1">
      <c r="A548" s="396"/>
      <c r="B548" s="427"/>
      <c r="C548" s="427"/>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0" customHeight="1">
      <c r="A549" s="396"/>
      <c r="B549" s="427"/>
      <c r="C549" s="427"/>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0" customHeight="1">
      <c r="A550" s="396"/>
      <c r="B550" s="427"/>
      <c r="C550" s="427"/>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0" customHeight="1">
      <c r="A551" s="396"/>
      <c r="B551" s="427"/>
      <c r="C551" s="427"/>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0" customHeight="1">
      <c r="A552" s="396"/>
      <c r="B552" s="427"/>
      <c r="C552" s="427"/>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0" customHeight="1">
      <c r="A553" s="396"/>
      <c r="B553" s="427"/>
      <c r="C553" s="427"/>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0" customHeight="1">
      <c r="A554" s="396"/>
      <c r="B554" s="427"/>
      <c r="C554" s="427"/>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0" customHeight="1">
      <c r="A555" s="396"/>
      <c r="B555" s="427"/>
      <c r="C555" s="427"/>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0" customHeight="1">
      <c r="A556" s="396"/>
      <c r="B556" s="427"/>
      <c r="C556" s="427"/>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0" customHeight="1">
      <c r="A557" s="396"/>
      <c r="B557" s="427"/>
      <c r="C557" s="427"/>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0" customHeight="1">
      <c r="A558" s="396"/>
      <c r="B558" s="427"/>
      <c r="C558" s="427"/>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0" customHeight="1">
      <c r="A559" s="396"/>
      <c r="B559" s="427"/>
      <c r="C559" s="427"/>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0" customHeight="1">
      <c r="A560" s="396"/>
      <c r="B560" s="427"/>
      <c r="C560" s="427"/>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0" customHeight="1">
      <c r="A561" s="396"/>
      <c r="B561" s="427"/>
      <c r="C561" s="427"/>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0" customHeight="1">
      <c r="A562" s="396"/>
      <c r="B562" s="427"/>
      <c r="C562" s="427"/>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0" customHeight="1">
      <c r="A563" s="396"/>
      <c r="B563" s="427"/>
      <c r="C563" s="427"/>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0" customHeight="1">
      <c r="A564" s="396"/>
      <c r="B564" s="427"/>
      <c r="C564" s="427"/>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0" customHeight="1">
      <c r="A565" s="396"/>
      <c r="B565" s="427"/>
      <c r="C565" s="427"/>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0" customHeight="1">
      <c r="A566" s="396"/>
      <c r="B566" s="427"/>
      <c r="C566" s="427"/>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0" customHeight="1">
      <c r="A567" s="396"/>
      <c r="B567" s="427"/>
      <c r="C567" s="427"/>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0" customHeight="1">
      <c r="A568" s="396"/>
      <c r="B568" s="427"/>
      <c r="C568" s="427"/>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0" customHeight="1">
      <c r="A569" s="396"/>
      <c r="B569" s="427"/>
      <c r="C569" s="427"/>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0" customHeight="1">
      <c r="A570" s="396"/>
      <c r="B570" s="427"/>
      <c r="C570" s="427"/>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0" customHeight="1">
      <c r="A571" s="396"/>
      <c r="B571" s="427"/>
      <c r="C571" s="427"/>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0" customHeight="1">
      <c r="A572" s="396"/>
      <c r="B572" s="427"/>
      <c r="C572" s="427"/>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0" customHeight="1">
      <c r="A573" s="396"/>
      <c r="B573" s="427"/>
      <c r="C573" s="427"/>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0" customHeight="1">
      <c r="A574" s="396"/>
      <c r="B574" s="427"/>
      <c r="C574" s="427"/>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0" customHeight="1">
      <c r="A575" s="396"/>
      <c r="B575" s="427"/>
      <c r="C575" s="427"/>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0" customHeight="1">
      <c r="A576" s="396"/>
      <c r="B576" s="427"/>
      <c r="C576" s="427"/>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0" customHeight="1">
      <c r="A577" s="396"/>
      <c r="B577" s="427"/>
      <c r="C577" s="427"/>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0" customHeight="1">
      <c r="A578" s="396"/>
      <c r="B578" s="427"/>
      <c r="C578" s="427"/>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0" customHeight="1">
      <c r="A579" s="396"/>
      <c r="B579" s="427"/>
      <c r="C579" s="427"/>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0" customHeight="1">
      <c r="A580" s="396"/>
      <c r="B580" s="427"/>
      <c r="C580" s="427"/>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0" customHeight="1">
      <c r="A581" s="396"/>
      <c r="B581" s="427"/>
      <c r="C581" s="427"/>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0" customHeight="1">
      <c r="A582" s="396"/>
      <c r="B582" s="427"/>
      <c r="C582" s="427"/>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0" customHeight="1">
      <c r="A583" s="396"/>
      <c r="B583" s="427"/>
      <c r="C583" s="427"/>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0" customHeight="1">
      <c r="A584" s="396"/>
      <c r="B584" s="427"/>
      <c r="C584" s="427"/>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0" customHeight="1">
      <c r="A585" s="396"/>
      <c r="B585" s="427"/>
      <c r="C585" s="427"/>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0" customHeight="1">
      <c r="A586" s="396"/>
      <c r="B586" s="427"/>
      <c r="C586" s="427"/>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0" customHeight="1">
      <c r="A587" s="396"/>
      <c r="B587" s="427"/>
      <c r="C587" s="427"/>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0" customHeight="1">
      <c r="A588" s="396"/>
      <c r="B588" s="427"/>
      <c r="C588" s="427"/>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0" customHeight="1">
      <c r="A589" s="396"/>
      <c r="B589" s="427"/>
      <c r="C589" s="427"/>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0" customHeight="1">
      <c r="A590" s="396"/>
      <c r="B590" s="427"/>
      <c r="C590" s="427"/>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0" customHeight="1">
      <c r="A591" s="396"/>
      <c r="B591" s="427"/>
      <c r="C591" s="427"/>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0" customHeight="1">
      <c r="A592" s="396"/>
      <c r="B592" s="427"/>
      <c r="C592" s="427"/>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0" customHeight="1">
      <c r="A593" s="396"/>
      <c r="B593" s="427"/>
      <c r="C593" s="427"/>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0" customHeight="1">
      <c r="A594" s="396"/>
      <c r="B594" s="427"/>
      <c r="C594" s="427"/>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0" customHeight="1">
      <c r="A595" s="396"/>
      <c r="B595" s="427"/>
      <c r="C595" s="427"/>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0" customHeight="1">
      <c r="A596" s="396"/>
      <c r="B596" s="427"/>
      <c r="C596" s="427"/>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0" customHeight="1">
      <c r="A597" s="396"/>
      <c r="B597" s="427"/>
      <c r="C597" s="427"/>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0" customHeight="1">
      <c r="A598" s="396"/>
      <c r="B598" s="427"/>
      <c r="C598" s="427"/>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0" customHeight="1">
      <c r="A599" s="396"/>
      <c r="B599" s="427"/>
      <c r="C599" s="427"/>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0" customHeight="1">
      <c r="A600" s="396"/>
      <c r="B600" s="427"/>
      <c r="C600" s="427"/>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0" customHeight="1">
      <c r="A601" s="396"/>
      <c r="B601" s="427"/>
      <c r="C601" s="427"/>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0" customHeight="1">
      <c r="A602" s="396"/>
      <c r="B602" s="427"/>
      <c r="C602" s="427"/>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0" customHeight="1">
      <c r="A603" s="396"/>
      <c r="B603" s="427"/>
      <c r="C603" s="427"/>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0" customHeight="1">
      <c r="A604" s="396"/>
      <c r="B604" s="427"/>
      <c r="C604" s="427"/>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0" customHeight="1">
      <c r="A605" s="396"/>
      <c r="B605" s="427"/>
      <c r="C605" s="427"/>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0" customHeight="1">
      <c r="A606" s="396"/>
      <c r="B606" s="427"/>
      <c r="C606" s="427"/>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0" customHeight="1">
      <c r="A607" s="396"/>
      <c r="B607" s="427"/>
      <c r="C607" s="427"/>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0" customHeight="1">
      <c r="A608" s="396"/>
      <c r="B608" s="427"/>
      <c r="C608" s="427"/>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0" customHeight="1">
      <c r="A609" s="396"/>
      <c r="B609" s="427"/>
      <c r="C609" s="427"/>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0" customHeight="1">
      <c r="A610" s="396"/>
      <c r="B610" s="427"/>
      <c r="C610" s="427"/>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0" customHeight="1">
      <c r="A611" s="396"/>
      <c r="B611" s="427"/>
      <c r="C611" s="427"/>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0" customHeight="1">
      <c r="A612" s="396"/>
      <c r="B612" s="427"/>
      <c r="C612" s="427"/>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0" customHeight="1">
      <c r="A613" s="396"/>
      <c r="B613" s="427"/>
      <c r="C613" s="427"/>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0" customHeight="1">
      <c r="A614" s="396"/>
      <c r="B614" s="427"/>
      <c r="C614" s="427"/>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0" customHeight="1">
      <c r="A615" s="396"/>
      <c r="B615" s="427"/>
      <c r="C615" s="427"/>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0" customHeight="1">
      <c r="A616" s="396"/>
      <c r="B616" s="427"/>
      <c r="C616" s="427"/>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0" customHeight="1">
      <c r="A617" s="396"/>
      <c r="B617" s="427"/>
      <c r="C617" s="427"/>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0" customHeight="1">
      <c r="A618" s="396"/>
      <c r="B618" s="427"/>
      <c r="C618" s="427"/>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0" customHeight="1">
      <c r="A619" s="396"/>
      <c r="B619" s="427"/>
      <c r="C619" s="427"/>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0" customHeight="1">
      <c r="A620" s="396"/>
      <c r="B620" s="427"/>
      <c r="C620" s="427"/>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0" customHeight="1">
      <c r="A621" s="396"/>
      <c r="B621" s="427"/>
      <c r="C621" s="427"/>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0" customHeight="1">
      <c r="A622" s="396"/>
      <c r="B622" s="427"/>
      <c r="C622" s="427"/>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0" customHeight="1">
      <c r="A623" s="396"/>
      <c r="B623" s="427"/>
      <c r="C623" s="427"/>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0" customHeight="1">
      <c r="A624" s="396"/>
      <c r="B624" s="427"/>
      <c r="C624" s="427"/>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0" customHeight="1">
      <c r="A625" s="396"/>
      <c r="B625" s="427"/>
      <c r="C625" s="427"/>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0" customHeight="1">
      <c r="A626" s="396"/>
      <c r="B626" s="427"/>
      <c r="C626" s="427"/>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0" customHeight="1">
      <c r="A627" s="396"/>
      <c r="B627" s="427"/>
      <c r="C627" s="427"/>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0" customHeight="1">
      <c r="A628" s="396"/>
      <c r="B628" s="427"/>
      <c r="C628" s="427"/>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0" customHeight="1">
      <c r="A629" s="396"/>
      <c r="B629" s="427"/>
      <c r="C629" s="427"/>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0" customHeight="1">
      <c r="A630" s="396"/>
      <c r="B630" s="427"/>
      <c r="C630" s="427"/>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0" customHeight="1">
      <c r="A631" s="396"/>
      <c r="B631" s="427"/>
      <c r="C631" s="427"/>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0" customHeight="1">
      <c r="A632" s="396"/>
      <c r="B632" s="427"/>
      <c r="C632" s="427"/>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0" customHeight="1">
      <c r="A633" s="396"/>
      <c r="B633" s="427"/>
      <c r="C633" s="427"/>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0" customHeight="1">
      <c r="A634" s="396"/>
      <c r="B634" s="427"/>
      <c r="C634" s="427"/>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0" customHeight="1">
      <c r="A635" s="396"/>
      <c r="B635" s="427"/>
      <c r="C635" s="427"/>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0" customHeight="1">
      <c r="A636" s="396"/>
      <c r="B636" s="427"/>
      <c r="C636" s="427"/>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0" customHeight="1">
      <c r="A637" s="396"/>
      <c r="B637" s="427"/>
      <c r="C637" s="427"/>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0" customHeight="1">
      <c r="A638" s="396"/>
      <c r="B638" s="427"/>
      <c r="C638" s="427"/>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0" customHeight="1">
      <c r="A639" s="396"/>
      <c r="B639" s="427"/>
      <c r="C639" s="427"/>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0" customHeight="1">
      <c r="A640" s="396"/>
      <c r="B640" s="427"/>
      <c r="C640" s="427"/>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0" customHeight="1">
      <c r="A641" s="396"/>
      <c r="B641" s="427"/>
      <c r="C641" s="427"/>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0" customHeight="1">
      <c r="A642" s="396"/>
      <c r="B642" s="427"/>
      <c r="C642" s="427"/>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0" customHeight="1">
      <c r="A643" s="396"/>
      <c r="B643" s="427"/>
      <c r="C643" s="427"/>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0" customHeight="1">
      <c r="A644" s="396"/>
      <c r="B644" s="427"/>
      <c r="C644" s="427"/>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0" customHeight="1">
      <c r="A645" s="396"/>
      <c r="B645" s="427"/>
      <c r="C645" s="427"/>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0" customHeight="1">
      <c r="A646" s="396"/>
      <c r="B646" s="427"/>
      <c r="C646" s="427"/>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0" customHeight="1">
      <c r="A647" s="396"/>
      <c r="B647" s="427"/>
      <c r="C647" s="427"/>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0" customHeight="1">
      <c r="A648" s="396"/>
      <c r="B648" s="427"/>
      <c r="C648" s="427"/>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0" customHeight="1">
      <c r="A649" s="396"/>
      <c r="B649" s="427"/>
      <c r="C649" s="427"/>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0" customHeight="1">
      <c r="A650" s="396"/>
      <c r="B650" s="427"/>
      <c r="C650" s="427"/>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0" customHeight="1">
      <c r="A651" s="396"/>
      <c r="B651" s="427"/>
      <c r="C651" s="427"/>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0" customHeight="1">
      <c r="A652" s="396"/>
      <c r="B652" s="427"/>
      <c r="C652" s="427"/>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0" customHeight="1">
      <c r="A653" s="396"/>
      <c r="B653" s="427"/>
      <c r="C653" s="427"/>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0" customHeight="1">
      <c r="A654" s="396"/>
      <c r="B654" s="427"/>
      <c r="C654" s="427"/>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0" customHeight="1">
      <c r="A655" s="396"/>
      <c r="B655" s="427"/>
      <c r="C655" s="427"/>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0" customHeight="1">
      <c r="A656" s="396"/>
      <c r="B656" s="427"/>
      <c r="C656" s="427"/>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0" customHeight="1">
      <c r="A657" s="396"/>
      <c r="B657" s="427"/>
      <c r="C657" s="427"/>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0" customHeight="1">
      <c r="A658" s="396"/>
      <c r="B658" s="427"/>
      <c r="C658" s="427"/>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0" customHeight="1">
      <c r="A659" s="396"/>
      <c r="B659" s="427"/>
      <c r="C659" s="427"/>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0" customHeight="1">
      <c r="A660" s="396"/>
      <c r="B660" s="427"/>
      <c r="C660" s="427"/>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0" customHeight="1">
      <c r="A661" s="396"/>
      <c r="B661" s="427"/>
      <c r="C661" s="427"/>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0" customHeight="1">
      <c r="A662" s="396"/>
      <c r="B662" s="427"/>
      <c r="C662" s="427"/>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0" customHeight="1">
      <c r="A663" s="396"/>
      <c r="B663" s="427"/>
      <c r="C663" s="427"/>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0" customHeight="1">
      <c r="A664" s="396"/>
      <c r="B664" s="427"/>
      <c r="C664" s="427"/>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0" customHeight="1">
      <c r="A665" s="396"/>
      <c r="B665" s="427"/>
      <c r="C665" s="427"/>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0" customHeight="1">
      <c r="A666" s="396"/>
      <c r="B666" s="427"/>
      <c r="C666" s="427"/>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0" customHeight="1">
      <c r="A667" s="396"/>
      <c r="B667" s="427"/>
      <c r="C667" s="427"/>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0" customHeight="1">
      <c r="A668" s="396"/>
      <c r="B668" s="427"/>
      <c r="C668" s="427"/>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0" customHeight="1">
      <c r="A669" s="396"/>
      <c r="B669" s="427"/>
      <c r="C669" s="427"/>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0" customHeight="1">
      <c r="A670" s="396"/>
      <c r="B670" s="427"/>
      <c r="C670" s="427"/>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0" customHeight="1">
      <c r="A671" s="396"/>
      <c r="B671" s="427"/>
      <c r="C671" s="427"/>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0" customHeight="1">
      <c r="A672" s="396"/>
      <c r="B672" s="427"/>
      <c r="C672" s="427"/>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0" customHeight="1">
      <c r="A673" s="396"/>
      <c r="B673" s="427"/>
      <c r="C673" s="427"/>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0" customHeight="1">
      <c r="A674" s="396"/>
      <c r="B674" s="427"/>
      <c r="C674" s="427"/>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0" customHeight="1">
      <c r="A675" s="396"/>
      <c r="B675" s="427"/>
      <c r="C675" s="427"/>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0" customHeight="1">
      <c r="A676" s="396"/>
      <c r="B676" s="427"/>
      <c r="C676" s="427"/>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0" customHeight="1">
      <c r="A677" s="396"/>
      <c r="B677" s="427"/>
      <c r="C677" s="427"/>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0" customHeight="1">
      <c r="A678" s="396"/>
      <c r="B678" s="427"/>
      <c r="C678" s="427"/>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0" customHeight="1">
      <c r="A679" s="396"/>
      <c r="B679" s="427"/>
      <c r="C679" s="427"/>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0" customHeight="1">
      <c r="A680" s="396"/>
      <c r="B680" s="427"/>
      <c r="C680" s="427"/>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0" customHeight="1">
      <c r="A681" s="396"/>
      <c r="B681" s="427"/>
      <c r="C681" s="427"/>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0" customHeight="1">
      <c r="A682" s="396"/>
      <c r="B682" s="427"/>
      <c r="C682" s="427"/>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0" customHeight="1">
      <c r="A683" s="396"/>
      <c r="B683" s="427"/>
      <c r="C683" s="427"/>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0" customHeight="1">
      <c r="A684" s="396"/>
      <c r="B684" s="427"/>
      <c r="C684" s="427"/>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0" customHeight="1">
      <c r="A685" s="396"/>
      <c r="B685" s="427"/>
      <c r="C685" s="427"/>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0" customHeight="1">
      <c r="A686" s="396"/>
      <c r="B686" s="427"/>
      <c r="C686" s="427"/>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0" customHeight="1">
      <c r="A687" s="396"/>
      <c r="B687" s="427"/>
      <c r="C687" s="427"/>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0" customHeight="1">
      <c r="A688" s="396"/>
      <c r="B688" s="427"/>
      <c r="C688" s="427"/>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0" customHeight="1">
      <c r="A689" s="396"/>
      <c r="B689" s="427"/>
      <c r="C689" s="427"/>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0" customHeight="1">
      <c r="A690" s="396"/>
      <c r="B690" s="427"/>
      <c r="C690" s="427"/>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0" customHeight="1">
      <c r="A691" s="396"/>
      <c r="B691" s="427"/>
      <c r="C691" s="427"/>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0" customHeight="1">
      <c r="A692" s="396"/>
      <c r="B692" s="427"/>
      <c r="C692" s="427"/>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0" customHeight="1">
      <c r="A693" s="396"/>
      <c r="B693" s="427"/>
      <c r="C693" s="427"/>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0" customHeight="1">
      <c r="A694" s="396"/>
      <c r="B694" s="427"/>
      <c r="C694" s="427"/>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0" customHeight="1">
      <c r="A695" s="396"/>
      <c r="B695" s="427"/>
      <c r="C695" s="427"/>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0" customHeight="1">
      <c r="A696" s="396"/>
      <c r="B696" s="427"/>
      <c r="C696" s="427"/>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0" customHeight="1">
      <c r="A697" s="396"/>
      <c r="B697" s="427"/>
      <c r="C697" s="427"/>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0" customHeight="1">
      <c r="A698" s="396"/>
      <c r="B698" s="427"/>
      <c r="C698" s="427"/>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0" customHeight="1">
      <c r="A699" s="396"/>
      <c r="B699" s="427"/>
      <c r="C699" s="427"/>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0" customHeight="1">
      <c r="A700" s="396"/>
      <c r="B700" s="427"/>
      <c r="C700" s="427"/>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0" customHeight="1">
      <c r="A701" s="396"/>
      <c r="B701" s="427"/>
      <c r="C701" s="427"/>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0" customHeight="1">
      <c r="A702" s="396"/>
      <c r="B702" s="427"/>
      <c r="C702" s="427"/>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0" customHeight="1">
      <c r="A703" s="396"/>
      <c r="B703" s="427"/>
      <c r="C703" s="427"/>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0" customHeight="1">
      <c r="A704" s="396"/>
      <c r="B704" s="427"/>
      <c r="C704" s="427"/>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0" customHeight="1">
      <c r="A705" s="396"/>
      <c r="B705" s="427"/>
      <c r="C705" s="427"/>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0" customHeight="1">
      <c r="A706" s="396"/>
      <c r="B706" s="427"/>
      <c r="C706" s="427"/>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0" customHeight="1">
      <c r="A707" s="396"/>
      <c r="B707" s="427"/>
      <c r="C707" s="427"/>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0" customHeight="1">
      <c r="A708" s="396"/>
      <c r="B708" s="427"/>
      <c r="C708" s="427"/>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0" customHeight="1">
      <c r="A709" s="396"/>
      <c r="B709" s="427"/>
      <c r="C709" s="427"/>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0" customHeight="1">
      <c r="A710" s="396"/>
      <c r="B710" s="427"/>
      <c r="C710" s="427"/>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0" customHeight="1">
      <c r="A711" s="396"/>
      <c r="B711" s="427"/>
      <c r="C711" s="427"/>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0" customHeight="1">
      <c r="A712" s="396"/>
      <c r="B712" s="427"/>
      <c r="C712" s="427"/>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0" customHeight="1">
      <c r="A713" s="396"/>
      <c r="B713" s="427"/>
      <c r="C713" s="427"/>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0" customHeight="1">
      <c r="A714" s="396"/>
      <c r="B714" s="427"/>
      <c r="C714" s="427"/>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0" customHeight="1">
      <c r="A715" s="396"/>
      <c r="B715" s="427"/>
      <c r="C715" s="427"/>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0" customHeight="1">
      <c r="A716" s="396"/>
      <c r="B716" s="427"/>
      <c r="C716" s="427"/>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0" customHeight="1">
      <c r="A717" s="396"/>
      <c r="B717" s="427"/>
      <c r="C717" s="427"/>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0" customHeight="1">
      <c r="A718" s="396"/>
      <c r="B718" s="427"/>
      <c r="C718" s="427"/>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0" customHeight="1">
      <c r="A719" s="396"/>
      <c r="B719" s="427"/>
      <c r="C719" s="427"/>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0" customHeight="1">
      <c r="A720" s="396"/>
      <c r="B720" s="427"/>
      <c r="C720" s="427"/>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0" customHeight="1">
      <c r="A721" s="396"/>
      <c r="B721" s="427"/>
      <c r="C721" s="427"/>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0" customHeight="1">
      <c r="A722" s="396"/>
      <c r="B722" s="427"/>
      <c r="C722" s="427"/>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0" customHeight="1">
      <c r="A723" s="396"/>
      <c r="B723" s="427"/>
      <c r="C723" s="427"/>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0" customHeight="1">
      <c r="A724" s="396"/>
      <c r="B724" s="427"/>
      <c r="C724" s="427"/>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0" customHeight="1">
      <c r="A725" s="396"/>
      <c r="B725" s="427"/>
      <c r="C725" s="427"/>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0" customHeight="1">
      <c r="A726" s="396"/>
      <c r="B726" s="427"/>
      <c r="C726" s="427"/>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0" customHeight="1">
      <c r="A727" s="396"/>
      <c r="B727" s="427"/>
      <c r="C727" s="427"/>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0" customHeight="1">
      <c r="A728" s="396"/>
      <c r="B728" s="427"/>
      <c r="C728" s="427"/>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0" customHeight="1">
      <c r="A729" s="396"/>
      <c r="B729" s="427"/>
      <c r="C729" s="427"/>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0" customHeight="1">
      <c r="A730" s="396"/>
      <c r="B730" s="427"/>
      <c r="C730" s="427"/>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0" customHeight="1">
      <c r="A731" s="396"/>
      <c r="B731" s="427"/>
      <c r="C731" s="427"/>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0" customHeight="1">
      <c r="A732" s="396"/>
      <c r="B732" s="427"/>
      <c r="C732" s="427"/>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0" customHeight="1">
      <c r="A733" s="396"/>
      <c r="B733" s="427"/>
      <c r="C733" s="427"/>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0" customHeight="1">
      <c r="A734" s="396"/>
      <c r="B734" s="427"/>
      <c r="C734" s="427"/>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0" customHeight="1">
      <c r="A735" s="396"/>
      <c r="B735" s="427"/>
      <c r="C735" s="427"/>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0" customHeight="1">
      <c r="A736" s="396"/>
      <c r="B736" s="427"/>
      <c r="C736" s="427"/>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0" customHeight="1">
      <c r="A737" s="396"/>
      <c r="B737" s="427"/>
      <c r="C737" s="427"/>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0" customHeight="1">
      <c r="A738" s="396"/>
      <c r="B738" s="427"/>
      <c r="C738" s="427"/>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0" customHeight="1">
      <c r="A739" s="396"/>
      <c r="B739" s="427"/>
      <c r="C739" s="427"/>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0" customHeight="1">
      <c r="A740" s="396"/>
      <c r="B740" s="427"/>
      <c r="C740" s="427"/>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0" customHeight="1">
      <c r="A741" s="396"/>
      <c r="B741" s="427"/>
      <c r="C741" s="427"/>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0" customHeight="1">
      <c r="A742" s="396"/>
      <c r="B742" s="427"/>
      <c r="C742" s="427"/>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0" customHeight="1">
      <c r="A743" s="396"/>
      <c r="B743" s="427"/>
      <c r="C743" s="427"/>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0" customHeight="1">
      <c r="A744" s="396"/>
      <c r="B744" s="427"/>
      <c r="C744" s="427"/>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0" customHeight="1">
      <c r="A745" s="396"/>
      <c r="B745" s="427"/>
      <c r="C745" s="427"/>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0" customHeight="1">
      <c r="A746" s="396"/>
      <c r="B746" s="427"/>
      <c r="C746" s="427"/>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0" customHeight="1">
      <c r="A747" s="396"/>
      <c r="B747" s="427"/>
      <c r="C747" s="427"/>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0" customHeight="1">
      <c r="A748" s="396"/>
      <c r="B748" s="427"/>
      <c r="C748" s="427"/>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0" customHeight="1">
      <c r="A749" s="396"/>
      <c r="B749" s="427"/>
      <c r="C749" s="427"/>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0" customHeight="1">
      <c r="A750" s="396"/>
      <c r="B750" s="427"/>
      <c r="C750" s="427"/>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0" customHeight="1">
      <c r="A751" s="396"/>
      <c r="B751" s="427"/>
      <c r="C751" s="427"/>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0" customHeight="1">
      <c r="A752" s="396"/>
      <c r="B752" s="427"/>
      <c r="C752" s="427"/>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0" customHeight="1">
      <c r="A753" s="396"/>
      <c r="B753" s="427"/>
      <c r="C753" s="427"/>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0" customHeight="1">
      <c r="A754" s="396"/>
      <c r="B754" s="427"/>
      <c r="C754" s="427"/>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0" customHeight="1">
      <c r="A755" s="396"/>
      <c r="B755" s="427"/>
      <c r="C755" s="427"/>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0" customHeight="1">
      <c r="A756" s="396"/>
      <c r="B756" s="427"/>
      <c r="C756" s="427"/>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0" customHeight="1">
      <c r="A757" s="396"/>
      <c r="B757" s="427"/>
      <c r="C757" s="427"/>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0" customHeight="1">
      <c r="A758" s="396"/>
      <c r="B758" s="427"/>
      <c r="C758" s="427"/>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0" customHeight="1">
      <c r="A759" s="396"/>
      <c r="B759" s="427"/>
      <c r="C759" s="427"/>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0" customHeight="1">
      <c r="A760" s="396"/>
      <c r="B760" s="427"/>
      <c r="C760" s="427"/>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0" customHeight="1">
      <c r="A761" s="396"/>
      <c r="B761" s="427"/>
      <c r="C761" s="427"/>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0" customHeight="1">
      <c r="A762" s="396"/>
      <c r="B762" s="427"/>
      <c r="C762" s="427"/>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0" customHeight="1">
      <c r="A763" s="396"/>
      <c r="B763" s="427"/>
      <c r="C763" s="427"/>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0" customHeight="1">
      <c r="A764" s="396"/>
      <c r="B764" s="427"/>
      <c r="C764" s="427"/>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0" customHeight="1">
      <c r="A765" s="396"/>
      <c r="B765" s="427"/>
      <c r="C765" s="427"/>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0" customHeight="1">
      <c r="A766" s="396"/>
      <c r="B766" s="427"/>
      <c r="C766" s="427"/>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0" customHeight="1">
      <c r="A767" s="396"/>
      <c r="B767" s="427"/>
      <c r="C767" s="427"/>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0" customHeight="1">
      <c r="A768" s="396"/>
      <c r="B768" s="427"/>
      <c r="C768" s="427"/>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0" customHeight="1">
      <c r="A769" s="396"/>
      <c r="B769" s="427"/>
      <c r="C769" s="427"/>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0" customHeight="1">
      <c r="A770" s="396"/>
      <c r="B770" s="427"/>
      <c r="C770" s="427"/>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0" customHeight="1">
      <c r="A771" s="396"/>
      <c r="B771" s="427"/>
      <c r="C771" s="427"/>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0" customHeight="1">
      <c r="A772" s="396"/>
      <c r="B772" s="427"/>
      <c r="C772" s="427"/>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0" customHeight="1">
      <c r="A773" s="396"/>
      <c r="B773" s="427"/>
      <c r="C773" s="427"/>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0" customHeight="1">
      <c r="A774" s="396"/>
      <c r="B774" s="427"/>
      <c r="C774" s="427"/>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0" customHeight="1">
      <c r="A775" s="396"/>
      <c r="B775" s="427"/>
      <c r="C775" s="427"/>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0" customHeight="1">
      <c r="A776" s="396"/>
      <c r="B776" s="427"/>
      <c r="C776" s="427"/>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0" customHeight="1">
      <c r="A777" s="396"/>
      <c r="B777" s="427"/>
      <c r="C777" s="427"/>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0" customHeight="1">
      <c r="A778" s="396"/>
      <c r="B778" s="427"/>
      <c r="C778" s="427"/>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0" customHeight="1">
      <c r="A779" s="396"/>
      <c r="B779" s="427"/>
      <c r="C779" s="427"/>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0" customHeight="1">
      <c r="A780" s="396"/>
      <c r="B780" s="427"/>
      <c r="C780" s="427"/>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0" customHeight="1">
      <c r="A781" s="396"/>
      <c r="B781" s="427"/>
      <c r="C781" s="427"/>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0" customHeight="1">
      <c r="A782" s="396"/>
      <c r="B782" s="427"/>
      <c r="C782" s="427"/>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0" customHeight="1">
      <c r="A783" s="396"/>
      <c r="B783" s="427"/>
      <c r="C783" s="427"/>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0" customHeight="1">
      <c r="A784" s="396"/>
      <c r="B784" s="427"/>
      <c r="C784" s="427"/>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0" customHeight="1">
      <c r="A785" s="396"/>
      <c r="B785" s="427"/>
      <c r="C785" s="427"/>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0" customHeight="1">
      <c r="A786" s="396"/>
      <c r="B786" s="427"/>
      <c r="C786" s="427"/>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0" customHeight="1">
      <c r="A787" s="396"/>
      <c r="B787" s="427"/>
      <c r="C787" s="427"/>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0" customHeight="1">
      <c r="A788" s="396"/>
      <c r="B788" s="427"/>
      <c r="C788" s="427"/>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0" customHeight="1">
      <c r="A789" s="396"/>
      <c r="B789" s="427"/>
      <c r="C789" s="427"/>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0" customHeight="1">
      <c r="A790" s="396"/>
      <c r="B790" s="427"/>
      <c r="C790" s="427"/>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0" customHeight="1">
      <c r="A791" s="396"/>
      <c r="B791" s="427"/>
      <c r="C791" s="427"/>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0" customHeight="1">
      <c r="A792" s="396"/>
      <c r="B792" s="427"/>
      <c r="C792" s="427"/>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0" customHeight="1">
      <c r="A793" s="396"/>
      <c r="B793" s="427"/>
      <c r="C793" s="427"/>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0" customHeight="1">
      <c r="A794" s="396"/>
      <c r="B794" s="427"/>
      <c r="C794" s="427"/>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0" customHeight="1">
      <c r="A795" s="396"/>
      <c r="B795" s="427"/>
      <c r="C795" s="427"/>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0" customHeight="1">
      <c r="A796" s="396"/>
      <c r="B796" s="427"/>
      <c r="C796" s="427"/>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0" customHeight="1">
      <c r="A797" s="396"/>
      <c r="B797" s="427"/>
      <c r="C797" s="427"/>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0" customHeight="1">
      <c r="A798" s="396"/>
      <c r="B798" s="427"/>
      <c r="C798" s="427"/>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0" customHeight="1">
      <c r="A799" s="396"/>
      <c r="B799" s="427"/>
      <c r="C799" s="427"/>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0" customHeight="1">
      <c r="A800" s="396"/>
      <c r="B800" s="427"/>
      <c r="C800" s="427"/>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0" customHeight="1">
      <c r="A801" s="396"/>
      <c r="B801" s="427"/>
      <c r="C801" s="427"/>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0" customHeight="1">
      <c r="A802" s="396"/>
      <c r="B802" s="427"/>
      <c r="C802" s="427"/>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0" customHeight="1">
      <c r="A803" s="396"/>
      <c r="B803" s="427"/>
      <c r="C803" s="427"/>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0" customHeight="1">
      <c r="A804" s="396"/>
      <c r="B804" s="427"/>
      <c r="C804" s="427"/>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0" customHeight="1">
      <c r="A805" s="396"/>
      <c r="B805" s="427"/>
      <c r="C805" s="427"/>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0" customHeight="1">
      <c r="A806" s="396"/>
      <c r="B806" s="427"/>
      <c r="C806" s="427"/>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0" customHeight="1">
      <c r="A807" s="396"/>
      <c r="B807" s="427"/>
      <c r="C807" s="427"/>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0" customHeight="1">
      <c r="A808" s="396"/>
      <c r="B808" s="427"/>
      <c r="C808" s="427"/>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0" customHeight="1">
      <c r="A809" s="396"/>
      <c r="B809" s="427"/>
      <c r="C809" s="427"/>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0" customHeight="1">
      <c r="A810" s="396"/>
      <c r="B810" s="427"/>
      <c r="C810" s="427"/>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0" customHeight="1">
      <c r="A811" s="396"/>
      <c r="B811" s="427"/>
      <c r="C811" s="427"/>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0" customHeight="1">
      <c r="A812" s="396"/>
      <c r="B812" s="427"/>
      <c r="C812" s="427"/>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0" customHeight="1">
      <c r="A813" s="396"/>
      <c r="B813" s="427"/>
      <c r="C813" s="427"/>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0" customHeight="1">
      <c r="A814" s="396"/>
      <c r="B814" s="427"/>
      <c r="C814" s="427"/>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0" customHeight="1">
      <c r="A815" s="396"/>
      <c r="B815" s="427"/>
      <c r="C815" s="427"/>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0" customHeight="1">
      <c r="A816" s="396"/>
      <c r="B816" s="427"/>
      <c r="C816" s="427"/>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0" customHeight="1">
      <c r="A817" s="396"/>
      <c r="B817" s="427"/>
      <c r="C817" s="427"/>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0" customHeight="1">
      <c r="A818" s="396"/>
      <c r="B818" s="427"/>
      <c r="C818" s="427"/>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0" customHeight="1">
      <c r="A819" s="396"/>
      <c r="B819" s="427"/>
      <c r="C819" s="427"/>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0" customHeight="1">
      <c r="A820" s="396"/>
      <c r="B820" s="427"/>
      <c r="C820" s="427"/>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0" customHeight="1">
      <c r="A821" s="396"/>
      <c r="B821" s="427"/>
      <c r="C821" s="427"/>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0" customHeight="1">
      <c r="A822" s="396"/>
      <c r="B822" s="427"/>
      <c r="C822" s="427"/>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0" customHeight="1">
      <c r="A823" s="396"/>
      <c r="B823" s="427"/>
      <c r="C823" s="427"/>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0" customHeight="1">
      <c r="A824" s="396"/>
      <c r="B824" s="427"/>
      <c r="C824" s="427"/>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0" customHeight="1">
      <c r="A825" s="396"/>
      <c r="B825" s="427"/>
      <c r="C825" s="427"/>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0" customHeight="1">
      <c r="A826" s="396"/>
      <c r="B826" s="427"/>
      <c r="C826" s="427"/>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0" customHeight="1">
      <c r="A827" s="396"/>
      <c r="B827" s="427"/>
      <c r="C827" s="427"/>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0" customHeight="1">
      <c r="A828" s="396"/>
      <c r="B828" s="427"/>
      <c r="C828" s="427"/>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0" customHeight="1">
      <c r="A829" s="396"/>
      <c r="B829" s="427"/>
      <c r="C829" s="427"/>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0" customHeight="1">
      <c r="A830" s="396"/>
      <c r="B830" s="427"/>
      <c r="C830" s="427"/>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0" customHeight="1">
      <c r="A831" s="396"/>
      <c r="B831" s="427"/>
      <c r="C831" s="427"/>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0" customHeight="1">
      <c r="A832" s="396"/>
      <c r="B832" s="427"/>
      <c r="C832" s="427"/>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0" customHeight="1">
      <c r="A833" s="396"/>
      <c r="B833" s="427"/>
      <c r="C833" s="427"/>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0" customHeight="1">
      <c r="A834" s="396"/>
      <c r="B834" s="427"/>
      <c r="C834" s="427"/>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0" customHeight="1">
      <c r="A835" s="396"/>
      <c r="B835" s="427"/>
      <c r="C835" s="427"/>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0" customHeight="1">
      <c r="A836" s="396"/>
      <c r="B836" s="427"/>
      <c r="C836" s="427"/>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0" customHeight="1">
      <c r="A837" s="396"/>
      <c r="B837" s="427"/>
      <c r="C837" s="427"/>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0" customHeight="1">
      <c r="A838" s="396"/>
      <c r="B838" s="427"/>
      <c r="C838" s="427"/>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0" customHeight="1">
      <c r="A839" s="396"/>
      <c r="B839" s="427"/>
      <c r="C839" s="427"/>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0" customHeight="1">
      <c r="A840" s="396"/>
      <c r="B840" s="427"/>
      <c r="C840" s="427"/>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0" customHeight="1">
      <c r="A841" s="396"/>
      <c r="B841" s="427"/>
      <c r="C841" s="427"/>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0" customHeight="1">
      <c r="A842" s="396"/>
      <c r="B842" s="427"/>
      <c r="C842" s="427"/>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0" customHeight="1">
      <c r="A843" s="396"/>
      <c r="B843" s="427"/>
      <c r="C843" s="427"/>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0" customHeight="1">
      <c r="A844" s="396"/>
      <c r="B844" s="427"/>
      <c r="C844" s="427"/>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0" customHeight="1">
      <c r="A845" s="396"/>
      <c r="B845" s="427"/>
      <c r="C845" s="427"/>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0" customHeight="1">
      <c r="A846" s="396"/>
      <c r="B846" s="427"/>
      <c r="C846" s="427"/>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0" customHeight="1">
      <c r="A847" s="396"/>
      <c r="B847" s="427"/>
      <c r="C847" s="427"/>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0" customHeight="1">
      <c r="A848" s="396"/>
      <c r="B848" s="427"/>
      <c r="C848" s="427"/>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0" customHeight="1">
      <c r="A849" s="396"/>
      <c r="B849" s="427"/>
      <c r="C849" s="427"/>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0" customHeight="1">
      <c r="A850" s="396"/>
      <c r="B850" s="427"/>
      <c r="C850" s="427"/>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0" customHeight="1">
      <c r="A851" s="396"/>
      <c r="B851" s="427"/>
      <c r="C851" s="427"/>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0" customHeight="1">
      <c r="A852" s="396"/>
      <c r="B852" s="427"/>
      <c r="C852" s="427"/>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0" customHeight="1">
      <c r="A853" s="396"/>
      <c r="B853" s="427"/>
      <c r="C853" s="427"/>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0" customHeight="1">
      <c r="A854" s="396"/>
      <c r="B854" s="427"/>
      <c r="C854" s="427"/>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0" customHeight="1">
      <c r="A855" s="396"/>
      <c r="B855" s="427"/>
      <c r="C855" s="427"/>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0" customHeight="1">
      <c r="A856" s="396"/>
      <c r="B856" s="427"/>
      <c r="C856" s="427"/>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0" customHeight="1">
      <c r="A857" s="396"/>
      <c r="B857" s="427"/>
      <c r="C857" s="427"/>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0" customHeight="1">
      <c r="A858" s="396"/>
      <c r="B858" s="427"/>
      <c r="C858" s="427"/>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0" customHeight="1">
      <c r="A859" s="396"/>
      <c r="B859" s="427"/>
      <c r="C859" s="427"/>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0" customHeight="1">
      <c r="A860" s="396"/>
      <c r="B860" s="427"/>
      <c r="C860" s="427"/>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0" customHeight="1">
      <c r="A861" s="396"/>
      <c r="B861" s="427"/>
      <c r="C861" s="427"/>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0" customHeight="1">
      <c r="A862" s="396"/>
      <c r="B862" s="427"/>
      <c r="C862" s="427"/>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0" customHeight="1">
      <c r="A863" s="396"/>
      <c r="B863" s="427"/>
      <c r="C863" s="427"/>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0" customHeight="1">
      <c r="A864" s="396"/>
      <c r="B864" s="427"/>
      <c r="C864" s="427"/>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0" customHeight="1">
      <c r="A865" s="396"/>
      <c r="B865" s="427"/>
      <c r="C865" s="427"/>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0" customHeight="1">
      <c r="A866" s="396"/>
      <c r="B866" s="427"/>
      <c r="C866" s="427"/>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0" customHeight="1">
      <c r="A867" s="396"/>
      <c r="B867" s="427"/>
      <c r="C867" s="427"/>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0" customHeight="1">
      <c r="A868" s="396"/>
      <c r="B868" s="427"/>
      <c r="C868" s="427"/>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0" customHeight="1">
      <c r="A869" s="396"/>
      <c r="B869" s="427"/>
      <c r="C869" s="427"/>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0" customHeight="1">
      <c r="A870" s="396"/>
      <c r="B870" s="427"/>
      <c r="C870" s="427"/>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0" customHeight="1">
      <c r="A871" s="396"/>
      <c r="B871" s="427"/>
      <c r="C871" s="427"/>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0" customHeight="1">
      <c r="A872" s="396"/>
      <c r="B872" s="427"/>
      <c r="C872" s="427"/>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0" customHeight="1">
      <c r="A873" s="396"/>
      <c r="B873" s="427"/>
      <c r="C873" s="427"/>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0" customHeight="1">
      <c r="A874" s="396"/>
      <c r="B874" s="427"/>
      <c r="C874" s="427"/>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0" customHeight="1">
      <c r="A875" s="396"/>
      <c r="B875" s="427"/>
      <c r="C875" s="427"/>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0" customHeight="1">
      <c r="A876" s="396"/>
      <c r="B876" s="427"/>
      <c r="C876" s="427"/>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0" customHeight="1">
      <c r="A877" s="396"/>
      <c r="B877" s="427"/>
      <c r="C877" s="427"/>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0" customHeight="1">
      <c r="A878" s="396"/>
      <c r="B878" s="427"/>
      <c r="C878" s="427"/>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0" customHeight="1">
      <c r="A879" s="396"/>
      <c r="B879" s="427"/>
      <c r="C879" s="427"/>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0" customHeight="1">
      <c r="A880" s="396"/>
      <c r="B880" s="427"/>
      <c r="C880" s="427"/>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0" customHeight="1">
      <c r="A881" s="396"/>
      <c r="B881" s="427"/>
      <c r="C881" s="427"/>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0" customHeight="1">
      <c r="A882" s="396"/>
      <c r="B882" s="427"/>
      <c r="C882" s="427"/>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0" customHeight="1">
      <c r="A883" s="396"/>
      <c r="B883" s="427"/>
      <c r="C883" s="427"/>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0" customHeight="1">
      <c r="A884" s="396"/>
      <c r="B884" s="427"/>
      <c r="C884" s="427"/>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0" customHeight="1">
      <c r="A885" s="396"/>
      <c r="B885" s="427"/>
      <c r="C885" s="427"/>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0" customHeight="1">
      <c r="A886" s="396"/>
      <c r="B886" s="427"/>
      <c r="C886" s="427"/>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0" customHeight="1">
      <c r="A887" s="396"/>
      <c r="B887" s="427"/>
      <c r="C887" s="427"/>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0" customHeight="1">
      <c r="A888" s="396"/>
      <c r="B888" s="427"/>
      <c r="C888" s="427"/>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0" customHeight="1">
      <c r="A889" s="396"/>
      <c r="B889" s="427"/>
      <c r="C889" s="427"/>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0" customHeight="1">
      <c r="A890" s="396"/>
      <c r="B890" s="427"/>
      <c r="C890" s="427"/>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0" customHeight="1">
      <c r="A891" s="396"/>
      <c r="B891" s="427"/>
      <c r="C891" s="427"/>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0" customHeight="1">
      <c r="A892" s="396"/>
      <c r="B892" s="427"/>
      <c r="C892" s="427"/>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0" customHeight="1">
      <c r="A893" s="396"/>
      <c r="B893" s="427"/>
      <c r="C893" s="427"/>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0" customHeight="1">
      <c r="A894" s="396"/>
      <c r="B894" s="427"/>
      <c r="C894" s="427"/>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0" customHeight="1">
      <c r="A895" s="396"/>
      <c r="B895" s="427"/>
      <c r="C895" s="427"/>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0" customHeight="1">
      <c r="A896" s="396"/>
      <c r="B896" s="427"/>
      <c r="C896" s="427"/>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0" customHeight="1">
      <c r="A897" s="396"/>
      <c r="B897" s="427"/>
      <c r="C897" s="427"/>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0" customHeight="1">
      <c r="A898" s="396"/>
      <c r="B898" s="427"/>
      <c r="C898" s="427"/>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0" customHeight="1">
      <c r="A899" s="396"/>
      <c r="B899" s="427"/>
      <c r="C899" s="427"/>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0" customHeight="1">
      <c r="A900" s="396"/>
      <c r="B900" s="427"/>
      <c r="C900" s="427"/>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0" customHeight="1">
      <c r="A901" s="396"/>
      <c r="B901" s="427"/>
      <c r="C901" s="427"/>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0" customHeight="1">
      <c r="A902" s="396"/>
      <c r="B902" s="427"/>
      <c r="C902" s="427"/>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0" customHeight="1">
      <c r="A903" s="396"/>
      <c r="B903" s="427"/>
      <c r="C903" s="427"/>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0" customHeight="1">
      <c r="A904" s="396"/>
      <c r="B904" s="427"/>
      <c r="C904" s="427"/>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0" customHeight="1">
      <c r="A905" s="396"/>
      <c r="B905" s="427"/>
      <c r="C905" s="427"/>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0" customHeight="1">
      <c r="A906" s="396"/>
      <c r="B906" s="427"/>
      <c r="C906" s="427"/>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0" customHeight="1">
      <c r="A907" s="396"/>
      <c r="B907" s="427"/>
      <c r="C907" s="427"/>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0" customHeight="1">
      <c r="A908" s="396"/>
      <c r="B908" s="427"/>
      <c r="C908" s="427"/>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0" customHeight="1">
      <c r="A909" s="396"/>
      <c r="B909" s="427"/>
      <c r="C909" s="427"/>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0" customHeight="1">
      <c r="A910" s="396"/>
      <c r="B910" s="427"/>
      <c r="C910" s="427"/>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0" customHeight="1">
      <c r="A911" s="396"/>
      <c r="B911" s="427"/>
      <c r="C911" s="427"/>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0" customHeight="1">
      <c r="A912" s="396"/>
      <c r="B912" s="427"/>
      <c r="C912" s="427"/>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0" customHeight="1">
      <c r="A913" s="396"/>
      <c r="B913" s="427"/>
      <c r="C913" s="427"/>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0" customHeight="1">
      <c r="A914" s="396"/>
      <c r="B914" s="427"/>
      <c r="C914" s="427"/>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0" customHeight="1">
      <c r="A915" s="396"/>
      <c r="B915" s="427"/>
      <c r="C915" s="427"/>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0" customHeight="1">
      <c r="A916" s="396"/>
      <c r="B916" s="427"/>
      <c r="C916" s="427"/>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0" customHeight="1">
      <c r="A917" s="396"/>
      <c r="B917" s="427"/>
      <c r="C917" s="427"/>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0" customHeight="1">
      <c r="A918" s="396"/>
      <c r="B918" s="427"/>
      <c r="C918" s="427"/>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0" customHeight="1">
      <c r="A919" s="396"/>
      <c r="B919" s="427"/>
      <c r="C919" s="427"/>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0" customHeight="1">
      <c r="A920" s="396"/>
      <c r="B920" s="427"/>
      <c r="C920" s="427"/>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0" customHeight="1">
      <c r="A921" s="396"/>
      <c r="B921" s="427"/>
      <c r="C921" s="427"/>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0" customHeight="1">
      <c r="A922" s="396"/>
      <c r="B922" s="427"/>
      <c r="C922" s="427"/>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0" customHeight="1">
      <c r="A923" s="396"/>
      <c r="B923" s="427"/>
      <c r="C923" s="427"/>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0" customHeight="1">
      <c r="A924" s="396"/>
      <c r="B924" s="427"/>
      <c r="C924" s="427"/>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0" customHeight="1">
      <c r="A925" s="396"/>
      <c r="B925" s="427"/>
      <c r="C925" s="427"/>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0" customHeight="1">
      <c r="A926" s="396"/>
      <c r="B926" s="427"/>
      <c r="C926" s="427"/>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0" customHeight="1">
      <c r="A927" s="396"/>
      <c r="B927" s="427"/>
      <c r="C927" s="427"/>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0" customHeight="1">
      <c r="A928" s="396"/>
      <c r="B928" s="427"/>
      <c r="C928" s="427"/>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0" customHeight="1">
      <c r="A929" s="396"/>
      <c r="B929" s="427"/>
      <c r="C929" s="427"/>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0" customHeight="1">
      <c r="A930" s="396"/>
      <c r="B930" s="427"/>
      <c r="C930" s="427"/>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0" customHeight="1">
      <c r="A931" s="396"/>
      <c r="B931" s="427"/>
      <c r="C931" s="427"/>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0" customHeight="1">
      <c r="A932" s="396"/>
      <c r="B932" s="427"/>
      <c r="C932" s="427"/>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0" customHeight="1">
      <c r="A933" s="396"/>
      <c r="B933" s="427"/>
      <c r="C933" s="427"/>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0" customHeight="1">
      <c r="A934" s="396"/>
      <c r="B934" s="427"/>
      <c r="C934" s="427"/>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0" customHeight="1">
      <c r="A935" s="396"/>
      <c r="B935" s="427"/>
      <c r="C935" s="427"/>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0" customHeight="1">
      <c r="A936" s="396"/>
      <c r="B936" s="427"/>
      <c r="C936" s="427"/>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0" customHeight="1">
      <c r="A937" s="396"/>
      <c r="B937" s="427"/>
      <c r="C937" s="427"/>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0" customHeight="1">
      <c r="A938" s="396"/>
      <c r="B938" s="427"/>
      <c r="C938" s="427"/>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0" customHeight="1">
      <c r="A939" s="396"/>
      <c r="B939" s="427"/>
      <c r="C939" s="427"/>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0" customHeight="1">
      <c r="A940" s="396"/>
      <c r="B940" s="427"/>
      <c r="C940" s="427"/>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0" customHeight="1">
      <c r="A941" s="396"/>
      <c r="B941" s="427"/>
      <c r="C941" s="427"/>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0" customHeight="1">
      <c r="A942" s="396"/>
      <c r="B942" s="427"/>
      <c r="C942" s="427"/>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0" customHeight="1">
      <c r="A943" s="396"/>
      <c r="B943" s="427"/>
      <c r="C943" s="427"/>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0" customHeight="1">
      <c r="A944" s="396"/>
      <c r="B944" s="427"/>
      <c r="C944" s="427"/>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0" customHeight="1">
      <c r="A945" s="396"/>
      <c r="B945" s="427"/>
      <c r="C945" s="427"/>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0" customHeight="1">
      <c r="A946" s="396"/>
      <c r="B946" s="427"/>
      <c r="C946" s="427"/>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0" customHeight="1">
      <c r="A947" s="396"/>
      <c r="B947" s="427"/>
      <c r="C947" s="427"/>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0" customHeight="1">
      <c r="A948" s="396"/>
      <c r="B948" s="427"/>
      <c r="C948" s="427"/>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0" customHeight="1">
      <c r="A949" s="396"/>
      <c r="B949" s="427"/>
      <c r="C949" s="427"/>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0" customHeight="1">
      <c r="A950" s="396"/>
      <c r="B950" s="427"/>
      <c r="C950" s="427"/>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0" customHeight="1">
      <c r="A951" s="396"/>
      <c r="B951" s="427"/>
      <c r="C951" s="427"/>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0" customHeight="1">
      <c r="A952" s="396"/>
      <c r="B952" s="427"/>
      <c r="C952" s="427"/>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0" customHeight="1">
      <c r="A953" s="396"/>
      <c r="B953" s="427"/>
      <c r="C953" s="427"/>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0" customHeight="1">
      <c r="A954" s="396"/>
      <c r="B954" s="427"/>
      <c r="C954" s="427"/>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0" customHeight="1">
      <c r="A955" s="396"/>
      <c r="B955" s="427"/>
      <c r="C955" s="427"/>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0" customHeight="1">
      <c r="A956" s="396"/>
      <c r="B956" s="427"/>
      <c r="C956" s="427"/>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0" customHeight="1">
      <c r="A957" s="396"/>
      <c r="B957" s="427"/>
      <c r="C957" s="427"/>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0" customHeight="1">
      <c r="A958" s="396"/>
      <c r="B958" s="427"/>
      <c r="C958" s="427"/>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0" customHeight="1">
      <c r="A959" s="396"/>
      <c r="B959" s="427"/>
      <c r="C959" s="427"/>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0" customHeight="1">
      <c r="A960" s="396"/>
      <c r="B960" s="427"/>
      <c r="C960" s="427"/>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0" customHeight="1">
      <c r="A961" s="396"/>
      <c r="B961" s="427"/>
      <c r="C961" s="427"/>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0" customHeight="1">
      <c r="A962" s="396"/>
      <c r="B962" s="427"/>
      <c r="C962" s="427"/>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0" customHeight="1">
      <c r="A963" s="396"/>
      <c r="B963" s="427"/>
      <c r="C963" s="427"/>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0" customHeight="1">
      <c r="A964" s="396"/>
      <c r="B964" s="427"/>
      <c r="C964" s="427"/>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0" customHeight="1">
      <c r="A965" s="396"/>
      <c r="B965" s="427"/>
      <c r="C965" s="427"/>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0" customHeight="1">
      <c r="A966" s="396"/>
      <c r="B966" s="427"/>
      <c r="C966" s="427"/>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0" customHeight="1">
      <c r="A967" s="396"/>
      <c r="B967" s="427"/>
      <c r="C967" s="427"/>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0" customHeight="1">
      <c r="A968" s="396"/>
      <c r="B968" s="427"/>
      <c r="C968" s="427"/>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0" customHeight="1">
      <c r="A969" s="396"/>
      <c r="B969" s="427"/>
      <c r="C969" s="427"/>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0" customHeight="1">
      <c r="A970" s="396"/>
      <c r="B970" s="427"/>
      <c r="C970" s="427"/>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0" customHeight="1">
      <c r="A971" s="396"/>
      <c r="B971" s="427"/>
      <c r="C971" s="427"/>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0" customHeight="1">
      <c r="A972" s="396"/>
      <c r="B972" s="427"/>
      <c r="C972" s="427"/>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0" customHeight="1">
      <c r="A973" s="396"/>
      <c r="B973" s="427"/>
      <c r="C973" s="427"/>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0" customHeight="1">
      <c r="A974" s="396"/>
      <c r="B974" s="427"/>
      <c r="C974" s="427"/>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0" customHeight="1">
      <c r="A975" s="396"/>
      <c r="B975" s="427"/>
      <c r="C975" s="427"/>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0" customHeight="1">
      <c r="A976" s="396"/>
      <c r="B976" s="427"/>
      <c r="C976" s="427"/>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0" customHeight="1">
      <c r="A977" s="396"/>
      <c r="B977" s="427"/>
      <c r="C977" s="427"/>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0" customHeight="1">
      <c r="A978" s="396"/>
      <c r="B978" s="427"/>
      <c r="C978" s="427"/>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0" customHeight="1">
      <c r="A979" s="396"/>
      <c r="B979" s="427"/>
      <c r="C979" s="427"/>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0" customHeight="1">
      <c r="A980" s="396"/>
      <c r="B980" s="427"/>
      <c r="C980" s="427"/>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0" customHeight="1">
      <c r="A981" s="396"/>
      <c r="B981" s="427"/>
      <c r="C981" s="427"/>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0" customHeight="1">
      <c r="A982" s="396"/>
      <c r="B982" s="427"/>
      <c r="C982" s="427"/>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0" customHeight="1">
      <c r="A983" s="396"/>
      <c r="B983" s="427"/>
      <c r="C983" s="427"/>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0" customHeight="1">
      <c r="A984" s="396"/>
      <c r="B984" s="427"/>
      <c r="C984" s="427"/>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0" customHeight="1">
      <c r="A985" s="396"/>
      <c r="B985" s="427"/>
      <c r="C985" s="427"/>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0" customHeight="1">
      <c r="A986" s="396"/>
      <c r="B986" s="427"/>
      <c r="C986" s="427"/>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0" customHeight="1">
      <c r="A987" s="396"/>
      <c r="B987" s="427"/>
      <c r="C987" s="427"/>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0" customHeight="1">
      <c r="A988" s="396"/>
      <c r="B988" s="427"/>
      <c r="C988" s="427"/>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0" customHeight="1">
      <c r="A989" s="396"/>
      <c r="B989" s="427"/>
      <c r="C989" s="427"/>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0" customHeight="1">
      <c r="A990" s="396"/>
      <c r="B990" s="427"/>
      <c r="C990" s="427"/>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0" customHeight="1">
      <c r="A991" s="396"/>
      <c r="B991" s="427"/>
      <c r="C991" s="427"/>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0" customHeight="1">
      <c r="A992" s="396"/>
      <c r="B992" s="427"/>
      <c r="C992" s="427"/>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0" customHeight="1">
      <c r="A993" s="396"/>
      <c r="B993" s="427"/>
      <c r="C993" s="427"/>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0" customHeight="1">
      <c r="A994" s="396"/>
      <c r="B994" s="427"/>
      <c r="C994" s="427"/>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0" customHeight="1">
      <c r="A995" s="396"/>
      <c r="B995" s="427"/>
      <c r="C995" s="427"/>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0" customHeight="1">
      <c r="A996" s="396"/>
      <c r="B996" s="427"/>
      <c r="C996" s="427"/>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0" customHeight="1">
      <c r="A997" s="396"/>
      <c r="B997" s="427"/>
      <c r="C997" s="427"/>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0" customHeight="1">
      <c r="A998" s="396"/>
      <c r="B998" s="427"/>
      <c r="C998" s="427"/>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0" customHeight="1">
      <c r="A999" s="396"/>
      <c r="B999" s="427"/>
      <c r="C999" s="427"/>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0" customHeight="1">
      <c r="A1000" s="396"/>
      <c r="B1000" s="427"/>
      <c r="C1000" s="427"/>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printOptions/>
  <pageMargins bottom="0.75" footer="0.0" header="0.0" left="0.7" right="0.7" top="0.75"/>
  <pageSetup orientation="landscape"/>
  <drawing r:id="rId1"/>
</worksheet>
</file>
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tsat">#REF!</definedName>
    <definedName name="ngiorni">#REF!</definedName>
    <definedName name="imese">#REF!</definedName>
    <definedName name="pvs_t">#REF!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<sst xmlns="http://schemas.openxmlformats.org/spreadsheetml/2006/main" count="1624" uniqueCount="659">
  <si>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</si>
  <si>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</si>
  <si>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</si>
  <si>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</si>
  <si>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</si>
  <si>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</si>
  <si>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</si>
  <si>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</si>
  <si>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</si>
  <si>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</si>
  <si>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</si>
  <si>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superiore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</si>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</sst>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362809226"/>
        <c:axId val="2010313090"/>
      </c:scatterChart>
      <c:valAx>
        <c:axId val="36280922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0313090"/>
      </c:valAx>
      <c:valAx>
        <c:axId val="201031309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2809226"/>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93929355"/>
        <c:axId val="931687498"/>
      </c:scatterChart>
      <c:valAx>
        <c:axId val="193929355"/>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31687498"/>
      </c:valAx>
      <c:valAx>
        <c:axId val="93168749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929355"/>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613526497"/>
        <c:axId val="845838351"/>
      </c:scatterChart>
      <c:valAx>
        <c:axId val="61352649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5838351"/>
      </c:valAx>
      <c:valAx>
        <c:axId val="84583835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3526497"/>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97442397"/>
        <c:axId val="1312106478"/>
      </c:scatterChart>
      <c:valAx>
        <c:axId val="9744239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2106478"/>
      </c:valAx>
      <c:valAx>
        <c:axId val="1312106478"/>
        <c:scaling>
          <c:orientation val="minMax"/>
        </c:scaling>
        <c:delete val="0"/>
        <c:axPos val="l"/>
        <c:tickLblPos val="nextTo"/>
        <c:spPr>
          <a:ln>
            <a:noFill/>
          </a:ln>
        </c:spPr>
        <c:crossAx val="97442397"/>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257949771"/>
        <c:axId val="1448196620"/>
      </c:scatterChart>
      <c:valAx>
        <c:axId val="125794977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8196620"/>
      </c:valAx>
      <c:valAx>
        <c:axId val="1448196620"/>
        <c:scaling>
          <c:orientation val="minMax"/>
        </c:scaling>
        <c:delete val="0"/>
        <c:axPos val="l"/>
        <c:tickLblPos val="nextTo"/>
        <c:spPr>
          <a:ln>
            <a:noFill/>
          </a:ln>
        </c:spPr>
        <c:crossAx val="1257949771"/>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56436326"/>
        <c:axId val="1308219476"/>
      </c:scatterChart>
      <c:valAx>
        <c:axId val="2564363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8219476"/>
      </c:valAx>
      <c:valAx>
        <c:axId val="130821947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6436326"/>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18.0</v>
      </c>
      <c r="E8" s="74"/>
      <c r="F8" s="75"/>
      <c r="G8" s="76"/>
      <c r="H8" s="77"/>
      <c r="I8" s="78">
        <v>0.3</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11</v>
      </c>
      <c r="AC8" s="46">
        <v>0.1</v>
      </c>
      <c r="AD8" s="46">
        <v>0.04</v>
      </c>
    </row>
    <row r="9" ht="15.75" customHeight="1">
      <c r="A9" s="18"/>
      <c r="B9" s="71" t="str">
        <f>ROMAN(3)</f>
        <v>III</v>
      </c>
      <c r="C9" s="72" t="s">
        <v>46</v>
      </c>
      <c r="D9" s="73">
        <v>4.0</v>
      </c>
      <c r="E9" s="74"/>
      <c r="F9" s="75"/>
      <c r="G9" s="76"/>
      <c r="H9" s="85">
        <v>0.044</v>
      </c>
      <c r="I9" s="86"/>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91"/>
      <c r="I10" s="86"/>
      <c r="J10" s="79"/>
      <c r="K10" s="18"/>
      <c r="L10" s="18"/>
      <c r="M10" s="92" t="s">
        <v>50</v>
      </c>
      <c r="N10" s="93" t="str">
        <f>'Calcoli componente'!$E$44</f>
        <v>#DIV/0!</v>
      </c>
      <c r="O10" s="94" t="s">
        <v>51</v>
      </c>
      <c r="P10" s="95"/>
      <c r="Q10" s="96"/>
      <c r="R10" s="18"/>
      <c r="S10" s="18"/>
      <c r="T10" s="18"/>
      <c r="U10" s="18"/>
      <c r="V10" s="18"/>
      <c r="W10" s="18"/>
      <c r="X10" s="18"/>
      <c r="Y10" s="18"/>
      <c r="Z10" s="18"/>
      <c r="AA10" s="18"/>
      <c r="AB10" s="45" t="s">
        <v>52</v>
      </c>
      <c r="AC10" s="46">
        <v>0.13</v>
      </c>
      <c r="AD10" s="46">
        <v>0.13</v>
      </c>
    </row>
    <row r="11" ht="14.25" customHeight="1">
      <c r="A11" s="18"/>
      <c r="B11" s="71" t="str">
        <f>ROMAN(5)</f>
        <v>V</v>
      </c>
      <c r="C11" s="72"/>
      <c r="D11" s="73"/>
      <c r="E11" s="74"/>
      <c r="F11" s="75"/>
      <c r="G11" s="76"/>
      <c r="H11" s="91"/>
      <c r="I11" s="86"/>
      <c r="J11" s="79"/>
      <c r="K11" s="18"/>
      <c r="L11" s="18"/>
      <c r="M11" s="52" t="s">
        <v>53</v>
      </c>
      <c r="N11" s="97">
        <f>'Calcoli componente'!$K$26</f>
        <v>1.36020202</v>
      </c>
      <c r="O11" s="98" t="s">
        <v>54</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55</v>
      </c>
      <c r="N12" s="101">
        <f>'Calcoli componente'!$L$26</f>
        <v>0.7351849101</v>
      </c>
      <c r="O12" s="102" t="s">
        <v>56</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57</v>
      </c>
      <c r="N13" s="104" t="str">
        <f>'Calcoli componente'!$L$33</f>
        <v>#DIV/0!</v>
      </c>
      <c r="O13" s="105"/>
      <c r="P13" s="95"/>
      <c r="Q13" s="96"/>
      <c r="R13" s="18"/>
      <c r="S13" s="18"/>
      <c r="T13" s="18"/>
      <c r="U13" s="18"/>
      <c r="V13" s="18"/>
      <c r="W13" s="18"/>
      <c r="X13" s="18"/>
      <c r="Y13" s="18"/>
      <c r="Z13" s="18"/>
      <c r="AA13" s="18"/>
      <c r="AB13" s="106" t="str">
        <f>D2</f>
        <v>Chiusura superiore</v>
      </c>
      <c r="AC13" s="107">
        <f>DGET($AB$4:$AD$10,"Rsi",$AB$12:$AB$13)</f>
        <v>0.1</v>
      </c>
      <c r="AD13" s="107">
        <f>DGET($AB$4:$AD$10,"Rse",$AB$12:$AB$13)</f>
        <v>0.04</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58</v>
      </c>
      <c r="N15" s="88">
        <f>'Calcoli componente'!C17</f>
        <v>23</v>
      </c>
      <c r="O15" s="89" t="s">
        <v>59</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60</v>
      </c>
      <c r="N16" s="108">
        <f>'Calcoli componente'!I17</f>
        <v>0</v>
      </c>
      <c r="O16" s="102" t="s">
        <v>61</v>
      </c>
      <c r="P16" s="103"/>
      <c r="Q16" s="70"/>
      <c r="R16" s="18"/>
      <c r="S16" s="18"/>
      <c r="T16" s="18"/>
      <c r="U16" s="18"/>
      <c r="V16" s="18"/>
      <c r="W16" s="18"/>
      <c r="X16" s="18"/>
      <c r="Y16" s="18"/>
      <c r="Z16" s="18"/>
      <c r="AA16" s="18"/>
      <c r="AB16" s="18"/>
      <c r="AC16" s="18"/>
      <c r="AD16" s="18"/>
    </row>
    <row r="17" ht="13.5" customHeight="1">
      <c r="A17" s="18"/>
      <c r="B17" s="109" t="s">
        <v>62</v>
      </c>
      <c r="C17" s="35"/>
      <c r="D17" s="110"/>
      <c r="E17" s="111"/>
      <c r="F17" s="111"/>
      <c r="G17" s="111"/>
      <c r="H17" s="111"/>
      <c r="I17" s="112">
        <f>$AD$13</f>
        <v>0.04</v>
      </c>
      <c r="J17" s="113"/>
      <c r="K17" s="18"/>
      <c r="L17" s="18"/>
      <c r="M17" s="92" t="s">
        <v>63</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72</v>
      </c>
      <c r="D4" s="24" t="s">
        <v>73</v>
      </c>
      <c r="E4" s="121"/>
      <c r="F4" s="121"/>
      <c r="G4" s="121"/>
      <c r="H4" s="122"/>
      <c r="I4" s="24" t="s">
        <v>74</v>
      </c>
      <c r="J4" s="121"/>
      <c r="K4" s="121"/>
      <c r="L4" s="121"/>
      <c r="M4" s="122"/>
      <c r="N4" s="18"/>
      <c r="O4" s="18"/>
      <c r="P4" s="18"/>
      <c r="Q4" s="18"/>
      <c r="R4" s="123"/>
      <c r="S4" s="124"/>
      <c r="T4" s="124"/>
      <c r="U4" s="124"/>
      <c r="V4" s="124"/>
      <c r="W4" s="29"/>
      <c r="X4" s="24" t="s">
        <v>75</v>
      </c>
      <c r="Y4" s="121"/>
      <c r="Z4" s="121"/>
      <c r="AA4" s="121"/>
      <c r="AB4" s="122"/>
      <c r="AC4" s="24" t="s">
        <v>76</v>
      </c>
      <c r="AD4" s="121"/>
      <c r="AE4" s="121"/>
      <c r="AF4" s="121"/>
      <c r="AG4" s="122"/>
      <c r="AH4" s="24" t="s">
        <v>77</v>
      </c>
      <c r="AI4" s="121"/>
      <c r="AJ4" s="121"/>
      <c r="AK4" s="121"/>
      <c r="AL4" s="122"/>
      <c r="AM4" s="125" t="s">
        <v>78</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79</v>
      </c>
      <c r="I5" s="71" t="s">
        <v>15</v>
      </c>
      <c r="J5" s="133" t="s">
        <v>80</v>
      </c>
      <c r="K5" s="33" t="s">
        <v>18</v>
      </c>
      <c r="L5" s="134" t="s">
        <v>81</v>
      </c>
      <c r="M5" s="132" t="s">
        <v>82</v>
      </c>
      <c r="N5" s="19"/>
      <c r="O5" s="123" t="s">
        <v>83</v>
      </c>
      <c r="P5" s="135" t="s">
        <v>84</v>
      </c>
      <c r="Q5" s="19"/>
      <c r="R5" s="129" t="s">
        <v>79</v>
      </c>
      <c r="S5" s="130" t="s">
        <v>85</v>
      </c>
      <c r="T5" s="136" t="s">
        <v>86</v>
      </c>
      <c r="U5" s="136" t="s">
        <v>87</v>
      </c>
      <c r="V5" s="136" t="s">
        <v>88</v>
      </c>
      <c r="W5" s="137" t="s">
        <v>89</v>
      </c>
      <c r="X5" s="71" t="s">
        <v>90</v>
      </c>
      <c r="Y5" s="33" t="s">
        <v>91</v>
      </c>
      <c r="Z5" s="33" t="s">
        <v>92</v>
      </c>
      <c r="AA5" s="33" t="s">
        <v>93</v>
      </c>
      <c r="AB5" s="132" t="s">
        <v>93</v>
      </c>
      <c r="AC5" s="71" t="s">
        <v>90</v>
      </c>
      <c r="AD5" s="33" t="s">
        <v>91</v>
      </c>
      <c r="AE5" s="33" t="s">
        <v>92</v>
      </c>
      <c r="AF5" s="33" t="s">
        <v>93</v>
      </c>
      <c r="AG5" s="132" t="s">
        <v>93</v>
      </c>
      <c r="AH5" s="71" t="s">
        <v>90</v>
      </c>
      <c r="AI5" s="33" t="s">
        <v>91</v>
      </c>
      <c r="AJ5" s="33" t="s">
        <v>92</v>
      </c>
      <c r="AK5" s="33" t="s">
        <v>93</v>
      </c>
      <c r="AL5" s="132" t="s">
        <v>93</v>
      </c>
      <c r="AM5" s="133" t="s">
        <v>90</v>
      </c>
      <c r="AN5" s="33" t="s">
        <v>91</v>
      </c>
      <c r="AO5" s="33" t="s">
        <v>92</v>
      </c>
      <c r="AP5" s="33" t="s">
        <v>93</v>
      </c>
      <c r="AQ5" s="132"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8" t="s">
        <v>27</v>
      </c>
      <c r="H6" s="139" t="s">
        <v>95</v>
      </c>
      <c r="I6" s="37" t="s">
        <v>96</v>
      </c>
      <c r="J6" s="140" t="s">
        <v>97</v>
      </c>
      <c r="K6" s="138" t="s">
        <v>98</v>
      </c>
      <c r="L6" s="138" t="s">
        <v>99</v>
      </c>
      <c r="M6" s="139" t="s">
        <v>100</v>
      </c>
      <c r="N6" s="19"/>
      <c r="O6" s="37" t="s">
        <v>101</v>
      </c>
      <c r="P6" s="139" t="s">
        <v>101</v>
      </c>
      <c r="Q6" s="19"/>
      <c r="R6" s="37" t="s">
        <v>97</v>
      </c>
      <c r="S6" s="138" t="s">
        <v>25</v>
      </c>
      <c r="T6" s="138" t="s">
        <v>25</v>
      </c>
      <c r="U6" s="138" t="s">
        <v>25</v>
      </c>
      <c r="V6" s="138" t="s">
        <v>25</v>
      </c>
      <c r="W6" s="39" t="s">
        <v>25</v>
      </c>
      <c r="X6" s="37" t="s">
        <v>25</v>
      </c>
      <c r="Y6" s="138" t="s">
        <v>25</v>
      </c>
      <c r="Z6" s="138" t="s">
        <v>25</v>
      </c>
      <c r="AA6" s="138" t="s">
        <v>102</v>
      </c>
      <c r="AB6" s="139" t="s">
        <v>103</v>
      </c>
      <c r="AC6" s="37" t="s">
        <v>104</v>
      </c>
      <c r="AD6" s="138" t="s">
        <v>105</v>
      </c>
      <c r="AE6" s="138" t="s">
        <v>106</v>
      </c>
      <c r="AF6" s="138" t="s">
        <v>102</v>
      </c>
      <c r="AG6" s="139" t="s">
        <v>103</v>
      </c>
      <c r="AH6" s="37" t="s">
        <v>107</v>
      </c>
      <c r="AI6" s="138" t="s">
        <v>108</v>
      </c>
      <c r="AJ6" s="138" t="s">
        <v>109</v>
      </c>
      <c r="AK6" s="138" t="s">
        <v>102</v>
      </c>
      <c r="AL6" s="139" t="s">
        <v>103</v>
      </c>
      <c r="AM6" s="140" t="s">
        <v>25</v>
      </c>
      <c r="AN6" s="138" t="s">
        <v>25</v>
      </c>
      <c r="AO6" s="138" t="s">
        <v>25</v>
      </c>
      <c r="AP6" s="39" t="s">
        <v>102</v>
      </c>
      <c r="AQ6" s="139" t="s">
        <v>103</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0.01111111111</v>
      </c>
      <c r="L7" s="149">
        <f t="shared" ref="L7:L17" si="4">IF($C7&gt;0,1/$K7,"")</f>
        <v>90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18</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v>
      </c>
      <c r="H8" s="159" t="str">
        <f t="shared" si="1"/>
        <v>#DIV/0!</v>
      </c>
      <c r="I8" s="160">
        <f t="shared" si="2"/>
        <v>0</v>
      </c>
      <c r="J8" s="161">
        <f>IF($C8&gt;0,IF(OR('Caratteristiche componente'!$C8="intercapedine",'Caratteristiche componente'!$C8="aria",'Caratteristiche componente'!$C8="intercapedine d'aria"),0.01,$C8/100*$E8),0)</f>
        <v>0</v>
      </c>
      <c r="K8" s="77">
        <f t="shared" si="3"/>
        <v>0.3</v>
      </c>
      <c r="L8" s="77">
        <f t="shared" si="4"/>
        <v>3.333333333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8">
        <f>'Caratteristiche componente'!D9</f>
        <v>4</v>
      </c>
      <c r="D9" s="74" t="str">
        <f>IF('Caratteristiche componente'!E9&lt;&gt;"",'Caratteristiche componente'!E9,"")</f>
        <v/>
      </c>
      <c r="E9" s="74" t="str">
        <f>IF('Caratteristiche componente'!F9&lt;&gt;"",'Caratteristiche componente'!F9,"")</f>
        <v/>
      </c>
      <c r="F9" s="76" t="str">
        <f>IF('Caratteristiche componente'!G9&lt;&gt;"",'Caratteristiche componente'!G9,"")</f>
        <v/>
      </c>
      <c r="G9" s="85">
        <f>IF('Caratteristiche componente'!H9&lt;&gt;"",'Caratteristiche componente'!H9,IF('Caratteristiche componente'!I9&lt;&gt;"",C9/100/'Caratteristiche componente'!I9,""))</f>
        <v>0.044</v>
      </c>
      <c r="H9" s="159" t="str">
        <f t="shared" si="1"/>
        <v>#DIV/0!</v>
      </c>
      <c r="I9" s="160">
        <f t="shared" si="2"/>
        <v>0</v>
      </c>
      <c r="J9" s="161">
        <f>IF($C9&gt;0,IF(OR('Caratteristiche componente'!$C9="intercapedine",'Caratteristiche componente'!$C9="aria",'Caratteristiche componente'!$C9="intercapedine d'aria"),0.01,$C9/100*$E9),0)</f>
        <v>0</v>
      </c>
      <c r="K9" s="77">
        <f t="shared" si="3"/>
        <v>0.9090909091</v>
      </c>
      <c r="L9" s="77">
        <f t="shared" si="4"/>
        <v>1.1</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110</v>
      </c>
      <c r="B17" s="189"/>
      <c r="C17" s="190">
        <f>SUM(C$7:C$16)</f>
        <v>23</v>
      </c>
      <c r="D17" s="189"/>
      <c r="E17" s="191"/>
      <c r="F17" s="191"/>
      <c r="G17" s="191"/>
      <c r="H17" s="192"/>
      <c r="I17" s="193">
        <f t="shared" ref="I17:K17" si="32">SUM(I$7:I$16)</f>
        <v>0</v>
      </c>
      <c r="J17" s="194">
        <f t="shared" si="32"/>
        <v>0</v>
      </c>
      <c r="K17" s="194">
        <f t="shared" si="32"/>
        <v>1.22020202</v>
      </c>
      <c r="L17" s="195">
        <f t="shared" si="4"/>
        <v>0.8195364238</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1"/>
      <c r="Z18" s="121"/>
      <c r="AA18" s="121"/>
      <c r="AB18" s="122"/>
      <c r="AC18" s="24" t="s">
        <v>112</v>
      </c>
      <c r="AD18" s="121"/>
      <c r="AE18" s="121"/>
      <c r="AF18" s="121"/>
      <c r="AG18" s="122"/>
      <c r="AH18" s="24" t="s">
        <v>113</v>
      </c>
      <c r="AI18" s="121"/>
      <c r="AJ18" s="121"/>
      <c r="AK18" s="121"/>
      <c r="AL18" s="122"/>
      <c r="AM18" s="125" t="s">
        <v>114</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115</v>
      </c>
      <c r="L19" s="201" t="s">
        <v>116</v>
      </c>
      <c r="M19" s="18"/>
      <c r="N19" s="18"/>
      <c r="O19" s="18"/>
      <c r="P19" s="18"/>
      <c r="Q19" s="18"/>
      <c r="R19" s="18"/>
      <c r="S19" s="18"/>
      <c r="T19" s="18"/>
      <c r="U19" s="18"/>
      <c r="V19" s="18"/>
      <c r="W19" s="18"/>
      <c r="X19" s="71" t="s">
        <v>90</v>
      </c>
      <c r="Y19" s="33" t="s">
        <v>91</v>
      </c>
      <c r="Z19" s="33" t="s">
        <v>92</v>
      </c>
      <c r="AA19" s="33" t="s">
        <v>93</v>
      </c>
      <c r="AB19" s="132" t="s">
        <v>93</v>
      </c>
      <c r="AC19" s="71" t="s">
        <v>90</v>
      </c>
      <c r="AD19" s="33" t="s">
        <v>91</v>
      </c>
      <c r="AE19" s="33" t="s">
        <v>92</v>
      </c>
      <c r="AF19" s="33" t="s">
        <v>93</v>
      </c>
      <c r="AG19" s="132" t="s">
        <v>93</v>
      </c>
      <c r="AH19" s="71" t="s">
        <v>90</v>
      </c>
      <c r="AI19" s="33" t="s">
        <v>91</v>
      </c>
      <c r="AJ19" s="33" t="s">
        <v>92</v>
      </c>
      <c r="AK19" s="33" t="s">
        <v>93</v>
      </c>
      <c r="AL19" s="132" t="s">
        <v>93</v>
      </c>
      <c r="AM19" s="133" t="s">
        <v>90</v>
      </c>
      <c r="AN19" s="33" t="s">
        <v>91</v>
      </c>
      <c r="AO19" s="33" t="s">
        <v>92</v>
      </c>
      <c r="AP19" s="33" t="s">
        <v>93</v>
      </c>
      <c r="AQ19" s="132" t="s">
        <v>93</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117</v>
      </c>
      <c r="L20" s="139" t="s">
        <v>118</v>
      </c>
      <c r="M20" s="18"/>
      <c r="N20" s="18"/>
      <c r="O20" s="18"/>
      <c r="P20" s="18"/>
      <c r="Q20" s="18"/>
      <c r="R20" s="18"/>
      <c r="S20" s="18"/>
      <c r="T20" s="18"/>
      <c r="U20" s="18"/>
      <c r="V20" s="18"/>
      <c r="W20" s="18"/>
      <c r="X20" s="37" t="s">
        <v>25</v>
      </c>
      <c r="Y20" s="138" t="s">
        <v>25</v>
      </c>
      <c r="Z20" s="138" t="s">
        <v>25</v>
      </c>
      <c r="AA20" s="138" t="s">
        <v>102</v>
      </c>
      <c r="AB20" s="139" t="s">
        <v>103</v>
      </c>
      <c r="AC20" s="37" t="s">
        <v>119</v>
      </c>
      <c r="AD20" s="138" t="s">
        <v>120</v>
      </c>
      <c r="AE20" s="138" t="s">
        <v>121</v>
      </c>
      <c r="AF20" s="138" t="s">
        <v>102</v>
      </c>
      <c r="AG20" s="139" t="s">
        <v>103</v>
      </c>
      <c r="AH20" s="37" t="s">
        <v>122</v>
      </c>
      <c r="AI20" s="138" t="s">
        <v>123</v>
      </c>
      <c r="AJ20" s="138" t="s">
        <v>124</v>
      </c>
      <c r="AK20" s="138" t="s">
        <v>102</v>
      </c>
      <c r="AL20" s="139" t="s">
        <v>103</v>
      </c>
      <c r="AM20" s="140" t="s">
        <v>25</v>
      </c>
      <c r="AN20" s="138" t="s">
        <v>25</v>
      </c>
      <c r="AO20" s="138" t="s">
        <v>25</v>
      </c>
      <c r="AP20" s="39" t="s">
        <v>102</v>
      </c>
      <c r="AQ20" s="139" t="s">
        <v>103</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v>
      </c>
      <c r="L21" s="156">
        <f t="shared" ref="L21:L22" si="34">1/K21</f>
        <v>10</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v>
      </c>
      <c r="AD21" s="153">
        <v>0.0</v>
      </c>
      <c r="AE21" s="153">
        <f t="shared" ref="AE21:AE22" si="39">SQRT(AC21^2+AD21^2)</f>
        <v>0.1</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62</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62</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125</v>
      </c>
      <c r="M24" s="18"/>
      <c r="N24" s="123" t="s">
        <v>126</v>
      </c>
      <c r="O24" s="124" t="s">
        <v>127</v>
      </c>
      <c r="P24" s="135" t="s">
        <v>128</v>
      </c>
      <c r="Q24" s="18"/>
      <c r="R24" s="31" t="s">
        <v>129</v>
      </c>
      <c r="S24" s="215" t="s">
        <v>130</v>
      </c>
      <c r="T24" s="18"/>
      <c r="U24" s="18"/>
      <c r="V24" s="18"/>
      <c r="W24" s="18"/>
      <c r="X24" s="24" t="s">
        <v>131</v>
      </c>
      <c r="Y24" s="121"/>
      <c r="Z24" s="121"/>
      <c r="AA24" s="121"/>
      <c r="AB24" s="25"/>
      <c r="AC24" s="24" t="s">
        <v>132</v>
      </c>
      <c r="AD24" s="121"/>
      <c r="AE24" s="121"/>
      <c r="AF24" s="121"/>
      <c r="AG24" s="122"/>
      <c r="AH24" s="24" t="s">
        <v>133</v>
      </c>
      <c r="AI24" s="121"/>
      <c r="AJ24" s="121"/>
      <c r="AK24" s="121"/>
      <c r="AL24" s="122"/>
      <c r="AM24" s="125" t="s">
        <v>134</v>
      </c>
      <c r="AN24" s="121"/>
      <c r="AO24" s="121"/>
      <c r="AP24" s="121"/>
      <c r="AQ24" s="122"/>
      <c r="AR24" s="24" t="s">
        <v>135</v>
      </c>
      <c r="AS24" s="121"/>
      <c r="AT24" s="121"/>
      <c r="AU24" s="121"/>
      <c r="AV24" s="122"/>
      <c r="AW24" s="24" t="s">
        <v>136</v>
      </c>
      <c r="AX24" s="121"/>
      <c r="AY24" s="121"/>
      <c r="AZ24" s="121"/>
      <c r="BA24" s="122"/>
      <c r="BB24" s="24" t="s">
        <v>137</v>
      </c>
      <c r="BC24" s="121"/>
      <c r="BD24" s="121"/>
      <c r="BE24" s="121"/>
      <c r="BF24" s="122"/>
      <c r="BG24" s="18"/>
      <c r="BH24" s="18"/>
    </row>
    <row r="25" ht="15.0" customHeight="1">
      <c r="A25" s="18"/>
      <c r="B25" s="18"/>
      <c r="C25" s="18"/>
      <c r="D25" s="18"/>
      <c r="E25" s="18"/>
      <c r="F25" s="18"/>
      <c r="G25" s="18"/>
      <c r="H25" s="18"/>
      <c r="I25" s="18"/>
      <c r="J25" s="18"/>
      <c r="K25" s="37" t="s">
        <v>138</v>
      </c>
      <c r="L25" s="139" t="s">
        <v>139</v>
      </c>
      <c r="M25" s="18"/>
      <c r="N25" s="37" t="s">
        <v>103</v>
      </c>
      <c r="O25" s="138" t="s">
        <v>103</v>
      </c>
      <c r="P25" s="139" t="s">
        <v>103</v>
      </c>
      <c r="Q25" s="18"/>
      <c r="R25" s="128" t="s">
        <v>103</v>
      </c>
      <c r="S25" s="128" t="s">
        <v>140</v>
      </c>
      <c r="T25" s="18"/>
      <c r="U25" s="18"/>
      <c r="V25" s="18"/>
      <c r="W25" s="18"/>
      <c r="X25" s="71" t="s">
        <v>90</v>
      </c>
      <c r="Y25" s="33" t="s">
        <v>91</v>
      </c>
      <c r="Z25" s="33" t="s">
        <v>92</v>
      </c>
      <c r="AA25" s="33" t="s">
        <v>93</v>
      </c>
      <c r="AB25" s="131" t="s">
        <v>93</v>
      </c>
      <c r="AC25" s="71" t="s">
        <v>90</v>
      </c>
      <c r="AD25" s="33" t="s">
        <v>91</v>
      </c>
      <c r="AE25" s="33" t="s">
        <v>92</v>
      </c>
      <c r="AF25" s="33" t="s">
        <v>93</v>
      </c>
      <c r="AG25" s="132" t="s">
        <v>93</v>
      </c>
      <c r="AH25" s="71" t="s">
        <v>90</v>
      </c>
      <c r="AI25" s="33" t="s">
        <v>91</v>
      </c>
      <c r="AJ25" s="33" t="s">
        <v>92</v>
      </c>
      <c r="AK25" s="33" t="s">
        <v>93</v>
      </c>
      <c r="AL25" s="132" t="s">
        <v>93</v>
      </c>
      <c r="AM25" s="133" t="s">
        <v>90</v>
      </c>
      <c r="AN25" s="33" t="s">
        <v>91</v>
      </c>
      <c r="AO25" s="33" t="s">
        <v>92</v>
      </c>
      <c r="AP25" s="33" t="s">
        <v>93</v>
      </c>
      <c r="AQ25" s="132" t="s">
        <v>93</v>
      </c>
      <c r="AR25" s="71" t="s">
        <v>90</v>
      </c>
      <c r="AS25" s="33" t="s">
        <v>91</v>
      </c>
      <c r="AT25" s="33" t="s">
        <v>92</v>
      </c>
      <c r="AU25" s="33" t="s">
        <v>93</v>
      </c>
      <c r="AV25" s="132" t="s">
        <v>93</v>
      </c>
      <c r="AW25" s="71" t="s">
        <v>90</v>
      </c>
      <c r="AX25" s="33" t="s">
        <v>91</v>
      </c>
      <c r="AY25" s="33" t="s">
        <v>92</v>
      </c>
      <c r="AZ25" s="33" t="s">
        <v>93</v>
      </c>
      <c r="BA25" s="132" t="s">
        <v>93</v>
      </c>
      <c r="BB25" s="71" t="s">
        <v>90</v>
      </c>
      <c r="BC25" s="33" t="s">
        <v>91</v>
      </c>
      <c r="BD25" s="33" t="s">
        <v>92</v>
      </c>
      <c r="BE25" s="33" t="s">
        <v>93</v>
      </c>
      <c r="BF25" s="132" t="s">
        <v>93</v>
      </c>
      <c r="BG25" s="18"/>
      <c r="BH25" s="18"/>
    </row>
    <row r="26" ht="15.0" customHeight="1">
      <c r="A26" s="18"/>
      <c r="B26" s="18"/>
      <c r="C26" s="18"/>
      <c r="D26" s="18"/>
      <c r="E26" s="18"/>
      <c r="F26" s="18"/>
      <c r="G26" s="18"/>
      <c r="H26" s="18"/>
      <c r="I26" s="18"/>
      <c r="J26" s="18"/>
      <c r="K26" s="216">
        <f>$K$17+$K$21+$K$22</f>
        <v>1.36020202</v>
      </c>
      <c r="L26" s="217">
        <f>1/$K$26</f>
        <v>0.7351849101</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102</v>
      </c>
      <c r="AB26" s="39" t="s">
        <v>103</v>
      </c>
      <c r="AC26" s="37" t="s">
        <v>141</v>
      </c>
      <c r="AD26" s="138" t="s">
        <v>142</v>
      </c>
      <c r="AE26" s="138" t="s">
        <v>143</v>
      </c>
      <c r="AF26" s="39" t="s">
        <v>102</v>
      </c>
      <c r="AG26" s="139" t="s">
        <v>103</v>
      </c>
      <c r="AH26" s="37" t="s">
        <v>144</v>
      </c>
      <c r="AI26" s="138" t="s">
        <v>145</v>
      </c>
      <c r="AJ26" s="138" t="s">
        <v>146</v>
      </c>
      <c r="AK26" s="39" t="s">
        <v>102</v>
      </c>
      <c r="AL26" s="139" t="s">
        <v>103</v>
      </c>
      <c r="AM26" s="140" t="s">
        <v>25</v>
      </c>
      <c r="AN26" s="138" t="s">
        <v>25</v>
      </c>
      <c r="AO26" s="138" t="s">
        <v>25</v>
      </c>
      <c r="AP26" s="39" t="s">
        <v>102</v>
      </c>
      <c r="AQ26" s="139" t="s">
        <v>103</v>
      </c>
      <c r="AR26" s="37" t="s">
        <v>147</v>
      </c>
      <c r="AS26" s="138" t="s">
        <v>148</v>
      </c>
      <c r="AT26" s="138" t="s">
        <v>149</v>
      </c>
      <c r="AU26" s="39" t="s">
        <v>102</v>
      </c>
      <c r="AV26" s="139" t="s">
        <v>103</v>
      </c>
      <c r="AW26" s="37" t="s">
        <v>150</v>
      </c>
      <c r="AX26" s="138" t="s">
        <v>151</v>
      </c>
      <c r="AY26" s="138" t="s">
        <v>152</v>
      </c>
      <c r="AZ26" s="39" t="s">
        <v>102</v>
      </c>
      <c r="BA26" s="139" t="s">
        <v>103</v>
      </c>
      <c r="BB26" s="37" t="s">
        <v>153</v>
      </c>
      <c r="BC26" s="138" t="s">
        <v>154</v>
      </c>
      <c r="BD26" s="138" t="s">
        <v>155</v>
      </c>
      <c r="BE26" s="39" t="s">
        <v>102</v>
      </c>
      <c r="BF26" s="139"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156</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157</v>
      </c>
      <c r="L28" s="31" t="s">
        <v>158</v>
      </c>
      <c r="M28" s="18"/>
      <c r="N28" s="123" t="s">
        <v>159</v>
      </c>
      <c r="O28" s="124" t="s">
        <v>160</v>
      </c>
      <c r="P28" s="135" t="s">
        <v>161</v>
      </c>
      <c r="Q28" s="18"/>
      <c r="R28" s="18"/>
      <c r="S28" s="18"/>
      <c r="T28" s="18"/>
      <c r="U28" s="18"/>
      <c r="V28" s="224" t="s">
        <v>162</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103</v>
      </c>
      <c r="L29" s="40" t="s">
        <v>163</v>
      </c>
      <c r="M29" s="18"/>
      <c r="N29" s="37" t="s">
        <v>164</v>
      </c>
      <c r="O29" s="138" t="s">
        <v>165</v>
      </c>
      <c r="P29" s="139"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167</v>
      </c>
      <c r="Y30" s="121"/>
      <c r="Z30" s="121"/>
      <c r="AA30" s="121"/>
      <c r="AB30" s="25"/>
      <c r="AC30" s="24" t="s">
        <v>168</v>
      </c>
      <c r="AD30" s="121"/>
      <c r="AE30" s="121"/>
      <c r="AF30" s="121"/>
      <c r="AG30" s="122"/>
      <c r="AH30" s="24" t="s">
        <v>169</v>
      </c>
      <c r="AI30" s="121"/>
      <c r="AJ30" s="121"/>
      <c r="AK30" s="121"/>
      <c r="AL30" s="122"/>
      <c r="AM30" s="125" t="s">
        <v>170</v>
      </c>
      <c r="AN30" s="121"/>
      <c r="AO30" s="121"/>
      <c r="AP30" s="121"/>
      <c r="AQ30" s="122"/>
      <c r="AR30" s="24" t="s">
        <v>171</v>
      </c>
      <c r="AS30" s="121"/>
      <c r="AT30" s="121"/>
      <c r="AU30" s="121"/>
      <c r="AV30" s="122"/>
      <c r="AW30" s="24" t="s">
        <v>172</v>
      </c>
      <c r="AX30" s="121"/>
      <c r="AY30" s="121"/>
      <c r="AZ30" s="121"/>
      <c r="BA30" s="122"/>
      <c r="BB30" s="24" t="s">
        <v>173</v>
      </c>
      <c r="BC30" s="121"/>
      <c r="BD30" s="121"/>
      <c r="BE30" s="121"/>
      <c r="BF30" s="122"/>
      <c r="BG30" s="18"/>
      <c r="BH30" s="18"/>
    </row>
    <row r="31" ht="15.75" customHeight="1">
      <c r="A31" s="18"/>
      <c r="B31" s="18"/>
      <c r="C31" s="18"/>
      <c r="D31" s="18"/>
      <c r="E31" s="18"/>
      <c r="F31" s="18"/>
      <c r="G31" s="18"/>
      <c r="H31" s="18"/>
      <c r="I31" s="18"/>
      <c r="J31" s="18"/>
      <c r="K31" s="18"/>
      <c r="L31" s="31" t="s">
        <v>174</v>
      </c>
      <c r="M31" s="233"/>
      <c r="N31" s="18"/>
      <c r="O31" s="18"/>
      <c r="P31" s="18"/>
      <c r="Q31" s="18"/>
      <c r="R31" s="18"/>
      <c r="S31" s="18"/>
      <c r="T31" s="18"/>
      <c r="U31" s="18"/>
      <c r="V31" s="18"/>
      <c r="W31" s="18"/>
      <c r="X31" s="71" t="s">
        <v>90</v>
      </c>
      <c r="Y31" s="33" t="s">
        <v>91</v>
      </c>
      <c r="Z31" s="33" t="s">
        <v>92</v>
      </c>
      <c r="AA31" s="33" t="s">
        <v>93</v>
      </c>
      <c r="AB31" s="131" t="s">
        <v>93</v>
      </c>
      <c r="AC31" s="71" t="s">
        <v>90</v>
      </c>
      <c r="AD31" s="33" t="s">
        <v>91</v>
      </c>
      <c r="AE31" s="33" t="s">
        <v>92</v>
      </c>
      <c r="AF31" s="33" t="s">
        <v>93</v>
      </c>
      <c r="AG31" s="132" t="s">
        <v>93</v>
      </c>
      <c r="AH31" s="71" t="s">
        <v>90</v>
      </c>
      <c r="AI31" s="33" t="s">
        <v>91</v>
      </c>
      <c r="AJ31" s="33" t="s">
        <v>92</v>
      </c>
      <c r="AK31" s="33" t="s">
        <v>93</v>
      </c>
      <c r="AL31" s="132" t="s">
        <v>93</v>
      </c>
      <c r="AM31" s="133" t="s">
        <v>90</v>
      </c>
      <c r="AN31" s="33" t="s">
        <v>91</v>
      </c>
      <c r="AO31" s="33" t="s">
        <v>92</v>
      </c>
      <c r="AP31" s="33" t="s">
        <v>93</v>
      </c>
      <c r="AQ31" s="132" t="s">
        <v>93</v>
      </c>
      <c r="AR31" s="71" t="s">
        <v>90</v>
      </c>
      <c r="AS31" s="33" t="s">
        <v>91</v>
      </c>
      <c r="AT31" s="33" t="s">
        <v>92</v>
      </c>
      <c r="AU31" s="131" t="s">
        <v>93</v>
      </c>
      <c r="AV31" s="132" t="s">
        <v>93</v>
      </c>
      <c r="AW31" s="71" t="s">
        <v>90</v>
      </c>
      <c r="AX31" s="33" t="s">
        <v>91</v>
      </c>
      <c r="AY31" s="33" t="s">
        <v>92</v>
      </c>
      <c r="AZ31" s="33" t="s">
        <v>93</v>
      </c>
      <c r="BA31" s="132" t="s">
        <v>93</v>
      </c>
      <c r="BB31" s="71" t="s">
        <v>90</v>
      </c>
      <c r="BC31" s="33" t="s">
        <v>91</v>
      </c>
      <c r="BD31" s="33" t="s">
        <v>92</v>
      </c>
      <c r="BE31" s="33" t="s">
        <v>93</v>
      </c>
      <c r="BF31" s="132"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102</v>
      </c>
      <c r="AB32" s="39" t="s">
        <v>103</v>
      </c>
      <c r="AC32" s="37" t="s">
        <v>175</v>
      </c>
      <c r="AD32" s="138" t="s">
        <v>176</v>
      </c>
      <c r="AE32" s="138" t="s">
        <v>177</v>
      </c>
      <c r="AF32" s="39" t="s">
        <v>102</v>
      </c>
      <c r="AG32" s="139" t="s">
        <v>103</v>
      </c>
      <c r="AH32" s="37" t="s">
        <v>178</v>
      </c>
      <c r="AI32" s="138" t="s">
        <v>179</v>
      </c>
      <c r="AJ32" s="138" t="s">
        <v>180</v>
      </c>
      <c r="AK32" s="39" t="s">
        <v>102</v>
      </c>
      <c r="AL32" s="139" t="s">
        <v>103</v>
      </c>
      <c r="AM32" s="140" t="s">
        <v>25</v>
      </c>
      <c r="AN32" s="138" t="s">
        <v>25</v>
      </c>
      <c r="AO32" s="138" t="s">
        <v>25</v>
      </c>
      <c r="AP32" s="39" t="s">
        <v>102</v>
      </c>
      <c r="AQ32" s="139" t="s">
        <v>103</v>
      </c>
      <c r="AR32" s="37" t="s">
        <v>181</v>
      </c>
      <c r="AS32" s="138" t="s">
        <v>182</v>
      </c>
      <c r="AT32" s="138" t="s">
        <v>183</v>
      </c>
      <c r="AU32" s="39" t="s">
        <v>102</v>
      </c>
      <c r="AV32" s="139" t="s">
        <v>103</v>
      </c>
      <c r="AW32" s="37" t="s">
        <v>184</v>
      </c>
      <c r="AX32" s="138" t="s">
        <v>185</v>
      </c>
      <c r="AY32" s="138" t="s">
        <v>186</v>
      </c>
      <c r="AZ32" s="39" t="s">
        <v>102</v>
      </c>
      <c r="BA32" s="139" t="s">
        <v>103</v>
      </c>
      <c r="BB32" s="37" t="s">
        <v>187</v>
      </c>
      <c r="BC32" s="138" t="s">
        <v>188</v>
      </c>
      <c r="BD32" s="138" t="s">
        <v>189</v>
      </c>
      <c r="BE32" s="39" t="s">
        <v>102</v>
      </c>
      <c r="BF32" s="139" t="s">
        <v>103</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156</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4" t="s">
        <v>162</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193</v>
      </c>
      <c r="D35" s="215" t="s">
        <v>194</v>
      </c>
      <c r="E35" s="215" t="s">
        <v>195</v>
      </c>
      <c r="F35" s="18"/>
      <c r="G35" s="18"/>
      <c r="H35" s="18"/>
      <c r="I35" s="18"/>
      <c r="J35" s="18"/>
      <c r="K35" s="215" t="s">
        <v>196</v>
      </c>
      <c r="L35" s="31" t="s">
        <v>197</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202</v>
      </c>
      <c r="AS36" s="121"/>
      <c r="AT36" s="121"/>
      <c r="AU36" s="121"/>
      <c r="AV36" s="122"/>
      <c r="AW36" s="237" t="s">
        <v>203</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90</v>
      </c>
      <c r="AS37" s="33" t="s">
        <v>91</v>
      </c>
      <c r="AT37" s="33" t="s">
        <v>92</v>
      </c>
      <c r="AU37" s="33" t="s">
        <v>93</v>
      </c>
      <c r="AV37" s="132" t="s">
        <v>93</v>
      </c>
      <c r="AW37" s="71" t="s">
        <v>90</v>
      </c>
      <c r="AX37" s="33" t="s">
        <v>91</v>
      </c>
      <c r="AY37" s="33" t="s">
        <v>92</v>
      </c>
      <c r="AZ37" s="33" t="s">
        <v>93</v>
      </c>
      <c r="BA37" s="132" t="s">
        <v>93</v>
      </c>
      <c r="BB37" s="18"/>
      <c r="BC37" s="18"/>
      <c r="BD37" s="18"/>
      <c r="BE37" s="18"/>
      <c r="BF37" s="18"/>
      <c r="BG37" s="18"/>
      <c r="BH37" s="18"/>
    </row>
    <row r="38" ht="16.5" customHeight="1">
      <c r="A38" s="18"/>
      <c r="B38" s="18"/>
      <c r="C38" s="18"/>
      <c r="D38" s="18"/>
      <c r="E38" s="18"/>
      <c r="F38" s="18"/>
      <c r="G38" s="18"/>
      <c r="H38" s="18"/>
      <c r="I38" s="18"/>
      <c r="J38" s="18"/>
      <c r="K38" s="18"/>
      <c r="L38" s="31" t="s">
        <v>204</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205</v>
      </c>
      <c r="AS38" s="138" t="s">
        <v>206</v>
      </c>
      <c r="AT38" s="138" t="s">
        <v>207</v>
      </c>
      <c r="AU38" s="39" t="s">
        <v>102</v>
      </c>
      <c r="AV38" s="139" t="s">
        <v>103</v>
      </c>
      <c r="AW38" s="37" t="s">
        <v>208</v>
      </c>
      <c r="AX38" s="138" t="s">
        <v>209</v>
      </c>
      <c r="AY38" s="138" t="s">
        <v>210</v>
      </c>
      <c r="AZ38" s="39" t="s">
        <v>102</v>
      </c>
      <c r="BA38" s="139"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211</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212</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213</v>
      </c>
      <c r="D42" s="215" t="s">
        <v>214</v>
      </c>
      <c r="E42" s="215" t="s">
        <v>215</v>
      </c>
      <c r="F42" s="18"/>
      <c r="G42" s="18"/>
      <c r="H42" s="18"/>
      <c r="I42" s="18"/>
      <c r="J42" s="18"/>
      <c r="K42" s="215" t="s">
        <v>216</v>
      </c>
      <c r="L42" s="31" t="s">
        <v>217</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218</v>
      </c>
      <c r="AS42" s="121"/>
      <c r="AT42" s="121"/>
      <c r="AU42" s="121"/>
      <c r="AV42" s="122"/>
      <c r="AW42" s="237" t="s">
        <v>219</v>
      </c>
      <c r="AX42" s="121"/>
      <c r="AY42" s="121"/>
      <c r="AZ42" s="121"/>
      <c r="BA42" s="122"/>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2" t="s">
        <v>93</v>
      </c>
      <c r="AW43" s="71" t="s">
        <v>90</v>
      </c>
      <c r="AX43" s="33" t="s">
        <v>91</v>
      </c>
      <c r="AY43" s="33" t="s">
        <v>92</v>
      </c>
      <c r="AZ43" s="33" t="s">
        <v>93</v>
      </c>
      <c r="BA43" s="132" t="s">
        <v>93</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8" t="s">
        <v>225</v>
      </c>
      <c r="AT44" s="138" t="s">
        <v>226</v>
      </c>
      <c r="AU44" s="39" t="s">
        <v>102</v>
      </c>
      <c r="AV44" s="139" t="s">
        <v>103</v>
      </c>
      <c r="AW44" s="37" t="s">
        <v>227</v>
      </c>
      <c r="AX44" s="138" t="s">
        <v>228</v>
      </c>
      <c r="AY44" s="138" t="s">
        <v>229</v>
      </c>
      <c r="AZ44" s="39" t="s">
        <v>102</v>
      </c>
      <c r="BA44" s="139" t="s">
        <v>103</v>
      </c>
      <c r="BB44" s="18"/>
      <c r="BC44" s="18"/>
      <c r="BD44" s="18"/>
      <c r="BE44" s="18"/>
      <c r="BF44" s="18"/>
      <c r="BG44" s="18"/>
      <c r="BH44" s="18"/>
    </row>
    <row r="45" ht="16.5" customHeight="1">
      <c r="A45" s="18"/>
      <c r="B45" s="18"/>
      <c r="C45" s="18"/>
      <c r="D45" s="18"/>
      <c r="E45" s="18"/>
      <c r="F45" s="18"/>
      <c r="G45" s="18"/>
      <c r="H45" s="18"/>
      <c r="I45" s="18"/>
      <c r="J45" s="18"/>
      <c r="K45" s="18"/>
      <c r="L45" s="31" t="s">
        <v>230</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211</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212</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231</v>
      </c>
      <c r="AS48" s="121"/>
      <c r="AT48" s="121"/>
      <c r="AU48" s="121"/>
      <c r="AV48" s="122"/>
      <c r="AW48" s="237" t="s">
        <v>232</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2" t="s">
        <v>93</v>
      </c>
      <c r="AW49" s="71" t="s">
        <v>90</v>
      </c>
      <c r="AX49" s="33" t="s">
        <v>91</v>
      </c>
      <c r="AY49" s="33" t="s">
        <v>92</v>
      </c>
      <c r="AZ49" s="33" t="s">
        <v>93</v>
      </c>
      <c r="BA49" s="132"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8" t="s">
        <v>234</v>
      </c>
      <c r="AT50" s="138" t="s">
        <v>235</v>
      </c>
      <c r="AU50" s="39" t="s">
        <v>102</v>
      </c>
      <c r="AV50" s="139" t="s">
        <v>103</v>
      </c>
      <c r="AW50" s="37" t="s">
        <v>236</v>
      </c>
      <c r="AX50" s="138" t="s">
        <v>237</v>
      </c>
      <c r="AY50" s="138" t="s">
        <v>238</v>
      </c>
      <c r="AZ50" s="39" t="s">
        <v>102</v>
      </c>
      <c r="BA50" s="139"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211</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212</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1"/>
      <c r="AT54" s="121"/>
      <c r="AU54" s="121"/>
      <c r="AV54" s="122"/>
      <c r="AW54" s="24" t="s">
        <v>240</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2" t="s">
        <v>93</v>
      </c>
      <c r="AW55" s="71" t="s">
        <v>90</v>
      </c>
      <c r="AX55" s="33" t="s">
        <v>91</v>
      </c>
      <c r="AY55" s="33" t="s">
        <v>92</v>
      </c>
      <c r="AZ55" s="33" t="s">
        <v>93</v>
      </c>
      <c r="BA55" s="132"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102</v>
      </c>
      <c r="AV56" s="139" t="s">
        <v>103</v>
      </c>
      <c r="AW56" s="37" t="s">
        <v>25</v>
      </c>
      <c r="AX56" s="138" t="s">
        <v>25</v>
      </c>
      <c r="AY56" s="138" t="s">
        <v>25</v>
      </c>
      <c r="AZ56" s="39" t="s">
        <v>102</v>
      </c>
      <c r="BA56" s="139"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1"/>
      <c r="AT59" s="121"/>
      <c r="AU59" s="121"/>
      <c r="AV59" s="122"/>
      <c r="AW59" s="24" t="s">
        <v>242</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2" t="s">
        <v>93</v>
      </c>
      <c r="AW60" s="71" t="s">
        <v>90</v>
      </c>
      <c r="AX60" s="33" t="s">
        <v>91</v>
      </c>
      <c r="AY60" s="33" t="s">
        <v>92</v>
      </c>
      <c r="AZ60" s="33" t="s">
        <v>93</v>
      </c>
      <c r="BA60" s="132"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102</v>
      </c>
      <c r="AV61" s="139" t="s">
        <v>103</v>
      </c>
      <c r="AW61" s="37" t="s">
        <v>25</v>
      </c>
      <c r="AX61" s="138" t="s">
        <v>25</v>
      </c>
      <c r="AY61" s="138" t="s">
        <v>25</v>
      </c>
      <c r="AZ61" s="39" t="s">
        <v>102</v>
      </c>
      <c r="BA61" s="139"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243</v>
      </c>
      <c r="C2" s="245"/>
      <c r="D2" s="246" t="s">
        <v>244</v>
      </c>
      <c r="E2" s="121"/>
      <c r="F2" s="121"/>
      <c r="G2" s="122"/>
      <c r="H2" s="246" t="s">
        <v>245</v>
      </c>
      <c r="I2" s="121"/>
      <c r="J2" s="121"/>
      <c r="K2" s="122"/>
      <c r="L2" s="246" t="s">
        <v>246</v>
      </c>
      <c r="M2" s="121"/>
      <c r="N2" s="121"/>
      <c r="O2" s="122"/>
      <c r="P2" s="246" t="s">
        <v>247</v>
      </c>
      <c r="Q2" s="121"/>
      <c r="R2" s="121"/>
      <c r="S2" s="122"/>
      <c r="T2" s="246" t="s">
        <v>248</v>
      </c>
      <c r="U2" s="121"/>
      <c r="V2" s="121"/>
      <c r="W2" s="122"/>
      <c r="X2" s="246" t="s">
        <v>249</v>
      </c>
      <c r="Y2" s="121"/>
      <c r="Z2" s="121"/>
      <c r="AA2" s="122"/>
      <c r="AB2" s="246" t="s">
        <v>250</v>
      </c>
      <c r="AC2" s="121"/>
      <c r="AD2" s="121"/>
      <c r="AE2" s="122"/>
      <c r="AF2" s="246" t="s">
        <v>251</v>
      </c>
      <c r="AG2" s="121"/>
      <c r="AH2" s="121"/>
      <c r="AI2" s="122"/>
      <c r="AJ2" s="246" t="s">
        <v>252</v>
      </c>
      <c r="AK2" s="121"/>
      <c r="AL2" s="121"/>
      <c r="AM2" s="122"/>
      <c r="AN2" s="246" t="s">
        <v>253</v>
      </c>
      <c r="AO2" s="121"/>
      <c r="AP2" s="121"/>
      <c r="AQ2" s="122"/>
      <c r="AR2" s="246" t="s">
        <v>254</v>
      </c>
      <c r="AS2" s="121"/>
      <c r="AT2" s="121"/>
      <c r="AU2" s="122"/>
      <c r="AV2" s="246" t="s">
        <v>255</v>
      </c>
      <c r="AW2" s="121"/>
      <c r="AX2" s="121"/>
      <c r="AY2" s="122"/>
      <c r="AZ2" s="242"/>
    </row>
    <row r="3" ht="12.75" customHeight="1">
      <c r="A3" s="242"/>
      <c r="B3" s="247"/>
      <c r="C3" s="248"/>
      <c r="D3" s="249">
        <f>'Calcoli componente'!$X$21</f>
        <v>1</v>
      </c>
      <c r="E3" s="250">
        <f>'Calcoli componente'!$Y$21</f>
        <v>0</v>
      </c>
      <c r="F3" s="250">
        <f>'Calcoli componente'!$AC$21</f>
        <v>-0.1</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256</v>
      </c>
      <c r="C8" s="261"/>
      <c r="D8" s="262"/>
      <c r="E8" s="262"/>
      <c r="F8" s="262"/>
      <c r="G8" s="262"/>
      <c r="H8" s="262"/>
      <c r="I8" s="263"/>
      <c r="J8" s="264" t="s">
        <v>257</v>
      </c>
      <c r="K8" s="265"/>
      <c r="L8" s="265"/>
      <c r="M8" s="266"/>
      <c r="N8" s="264" t="s">
        <v>258</v>
      </c>
      <c r="O8" s="265"/>
      <c r="P8" s="265"/>
      <c r="Q8" s="266"/>
      <c r="R8" s="264" t="s">
        <v>259</v>
      </c>
      <c r="S8" s="265"/>
      <c r="T8" s="265"/>
      <c r="U8" s="266"/>
      <c r="V8" s="264" t="s">
        <v>260</v>
      </c>
      <c r="W8" s="265"/>
      <c r="X8" s="265"/>
      <c r="Y8" s="266"/>
      <c r="Z8" s="264" t="s">
        <v>261</v>
      </c>
      <c r="AA8" s="265"/>
      <c r="AB8" s="265"/>
      <c r="AC8" s="266"/>
      <c r="AD8" s="264" t="s">
        <v>262</v>
      </c>
      <c r="AE8" s="265"/>
      <c r="AF8" s="265"/>
      <c r="AG8" s="266"/>
      <c r="AH8" s="264" t="s">
        <v>263</v>
      </c>
      <c r="AI8" s="265"/>
      <c r="AJ8" s="265"/>
      <c r="AK8" s="266"/>
      <c r="AL8" s="264" t="s">
        <v>264</v>
      </c>
      <c r="AM8" s="265"/>
      <c r="AN8" s="265"/>
      <c r="AO8" s="266"/>
      <c r="AP8" s="264" t="s">
        <v>265</v>
      </c>
      <c r="AQ8" s="265"/>
      <c r="AR8" s="265"/>
      <c r="AS8" s="266"/>
      <c r="AT8" s="264" t="s">
        <v>266</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267</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268</v>
      </c>
      <c r="C19" s="279"/>
      <c r="D19" s="274"/>
      <c r="E19" s="275"/>
      <c r="F19" s="246" t="s">
        <v>269</v>
      </c>
      <c r="G19" s="121"/>
      <c r="H19" s="121"/>
      <c r="I19" s="122"/>
      <c r="J19" s="246" t="s">
        <v>270</v>
      </c>
      <c r="K19" s="121"/>
      <c r="L19" s="121"/>
      <c r="M19" s="122"/>
      <c r="N19" s="246" t="s">
        <v>271</v>
      </c>
      <c r="O19" s="121"/>
      <c r="P19" s="121"/>
      <c r="Q19" s="122"/>
      <c r="R19" s="246" t="s">
        <v>272</v>
      </c>
      <c r="S19" s="121"/>
      <c r="T19" s="121"/>
      <c r="U19" s="122"/>
      <c r="V19" s="246" t="s">
        <v>273</v>
      </c>
      <c r="W19" s="121"/>
      <c r="X19" s="121"/>
      <c r="Y19" s="122"/>
      <c r="Z19" s="246" t="s">
        <v>274</v>
      </c>
      <c r="AA19" s="121"/>
      <c r="AB19" s="121"/>
      <c r="AC19" s="122"/>
      <c r="AD19" s="246" t="s">
        <v>275</v>
      </c>
      <c r="AE19" s="121"/>
      <c r="AF19" s="121"/>
      <c r="AG19" s="122"/>
      <c r="AH19" s="246" t="s">
        <v>276</v>
      </c>
      <c r="AI19" s="121"/>
      <c r="AJ19" s="121"/>
      <c r="AK19" s="122"/>
      <c r="AL19" s="246" t="s">
        <v>277</v>
      </c>
      <c r="AM19" s="121"/>
      <c r="AN19" s="121"/>
      <c r="AO19" s="122"/>
      <c r="AP19" s="246" t="s">
        <v>278</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279</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280</v>
      </c>
      <c r="C2" s="284" t="s">
        <v>281</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282</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283</v>
      </c>
      <c r="F5" s="288" t="s">
        <v>284</v>
      </c>
      <c r="G5" s="288" t="s">
        <v>285</v>
      </c>
      <c r="H5" s="288" t="s">
        <v>286</v>
      </c>
      <c r="I5" s="288" t="s">
        <v>287</v>
      </c>
      <c r="J5" s="288" t="s">
        <v>288</v>
      </c>
      <c r="K5" s="288" t="s">
        <v>289</v>
      </c>
      <c r="L5" s="288" t="s">
        <v>290</v>
      </c>
      <c r="M5" s="288" t="s">
        <v>291</v>
      </c>
      <c r="N5" s="288" t="s">
        <v>292</v>
      </c>
      <c r="O5" s="288" t="s">
        <v>293</v>
      </c>
      <c r="P5" s="289" t="s">
        <v>294</v>
      </c>
      <c r="Q5" s="283"/>
      <c r="R5" s="283"/>
      <c r="S5" s="283"/>
      <c r="T5" s="283"/>
      <c r="U5" s="283"/>
      <c r="V5" s="283"/>
      <c r="W5" s="283"/>
      <c r="X5" s="283"/>
      <c r="Y5" s="283"/>
      <c r="Z5" s="283"/>
    </row>
    <row r="6" ht="19.5" customHeight="1">
      <c r="A6" s="283"/>
      <c r="B6" s="290" t="s">
        <v>295</v>
      </c>
      <c r="C6" s="291" t="s">
        <v>296</v>
      </c>
      <c r="D6" s="292" t="s">
        <v>297</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298</v>
      </c>
      <c r="C7" s="297" t="s">
        <v>299</v>
      </c>
      <c r="D7" s="298" t="s">
        <v>300</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301</v>
      </c>
      <c r="C8" s="303" t="s">
        <v>302</v>
      </c>
      <c r="D8" s="304" t="s">
        <v>303</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304</v>
      </c>
      <c r="C9" s="291" t="s">
        <v>305</v>
      </c>
      <c r="D9" s="292" t="s">
        <v>297</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306</v>
      </c>
      <c r="C10" s="308" t="s">
        <v>307</v>
      </c>
      <c r="D10" s="298" t="s">
        <v>300</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308</v>
      </c>
      <c r="S10" s="283"/>
      <c r="T10" s="283"/>
      <c r="U10" s="283"/>
      <c r="V10" s="283"/>
      <c r="W10" s="283"/>
      <c r="X10" s="283"/>
      <c r="Y10" s="283"/>
      <c r="Z10" s="283"/>
    </row>
    <row r="11" ht="19.5" customHeight="1">
      <c r="A11" s="283"/>
      <c r="B11" s="296" t="s">
        <v>309</v>
      </c>
      <c r="C11" s="297" t="s">
        <v>310</v>
      </c>
      <c r="D11" s="298" t="s">
        <v>300</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311</v>
      </c>
      <c r="C12" s="303" t="s">
        <v>312</v>
      </c>
      <c r="D12" s="304" t="s">
        <v>303</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313</v>
      </c>
      <c r="C13" s="291" t="s">
        <v>314</v>
      </c>
      <c r="D13" s="292" t="s">
        <v>297</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315</v>
      </c>
      <c r="C14" s="303" t="s">
        <v>316</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317</v>
      </c>
      <c r="C15" s="303" t="s">
        <v>318</v>
      </c>
      <c r="D15" s="304" t="s">
        <v>319</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320</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283</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283</v>
      </c>
      <c r="L3" s="121"/>
      <c r="M3" s="121"/>
      <c r="N3" s="121"/>
      <c r="O3" s="121"/>
      <c r="P3" s="121"/>
      <c r="Q3" s="122"/>
      <c r="R3" s="322" t="s">
        <v>284</v>
      </c>
      <c r="S3" s="121"/>
      <c r="T3" s="121"/>
      <c r="U3" s="121"/>
      <c r="V3" s="121"/>
      <c r="W3" s="121"/>
      <c r="X3" s="122"/>
      <c r="Y3" s="322" t="s">
        <v>285</v>
      </c>
      <c r="Z3" s="121"/>
      <c r="AA3" s="121"/>
      <c r="AB3" s="121"/>
      <c r="AC3" s="121"/>
      <c r="AD3" s="121"/>
      <c r="AE3" s="122"/>
      <c r="AF3" s="322" t="s">
        <v>286</v>
      </c>
      <c r="AG3" s="121"/>
      <c r="AH3" s="121"/>
      <c r="AI3" s="121"/>
      <c r="AJ3" s="121"/>
      <c r="AK3" s="121"/>
      <c r="AL3" s="122"/>
      <c r="AM3" s="322" t="s">
        <v>287</v>
      </c>
      <c r="AN3" s="121"/>
      <c r="AO3" s="121"/>
      <c r="AP3" s="121"/>
      <c r="AQ3" s="121"/>
      <c r="AR3" s="121"/>
      <c r="AS3" s="122"/>
      <c r="AT3" s="322" t="s">
        <v>288</v>
      </c>
      <c r="AU3" s="121"/>
      <c r="AV3" s="121"/>
      <c r="AW3" s="121"/>
      <c r="AX3" s="121"/>
      <c r="AY3" s="121"/>
      <c r="AZ3" s="122"/>
      <c r="BA3" s="322" t="s">
        <v>289</v>
      </c>
      <c r="BB3" s="121"/>
      <c r="BC3" s="121"/>
      <c r="BD3" s="121"/>
      <c r="BE3" s="121"/>
      <c r="BF3" s="121"/>
      <c r="BG3" s="122"/>
      <c r="BH3" s="322" t="s">
        <v>290</v>
      </c>
      <c r="BI3" s="121"/>
      <c r="BJ3" s="121"/>
      <c r="BK3" s="121"/>
      <c r="BL3" s="121"/>
      <c r="BM3" s="121"/>
      <c r="BN3" s="122"/>
      <c r="BO3" s="322" t="s">
        <v>291</v>
      </c>
      <c r="BP3" s="121"/>
      <c r="BQ3" s="121"/>
      <c r="BR3" s="121"/>
      <c r="BS3" s="121"/>
      <c r="BT3" s="121"/>
      <c r="BU3" s="122"/>
      <c r="BV3" s="322" t="s">
        <v>292</v>
      </c>
      <c r="BW3" s="121"/>
      <c r="BX3" s="121"/>
      <c r="BY3" s="121"/>
      <c r="BZ3" s="121"/>
      <c r="CA3" s="121"/>
      <c r="CB3" s="122"/>
      <c r="CC3" s="322" t="s">
        <v>293</v>
      </c>
      <c r="CD3" s="121"/>
      <c r="CE3" s="121"/>
      <c r="CF3" s="121"/>
      <c r="CG3" s="121"/>
      <c r="CH3" s="121"/>
      <c r="CI3" s="122"/>
      <c r="CJ3" s="322" t="s">
        <v>294</v>
      </c>
      <c r="CK3" s="121"/>
      <c r="CL3" s="121"/>
      <c r="CM3" s="121"/>
      <c r="CN3" s="121"/>
      <c r="CO3" s="121"/>
      <c r="CP3" s="122"/>
    </row>
    <row r="4" ht="18.75" customHeight="1">
      <c r="A4" s="323" t="s">
        <v>12</v>
      </c>
      <c r="B4" s="25"/>
      <c r="C4" s="284" t="s">
        <v>72</v>
      </c>
      <c r="D4" s="323" t="s">
        <v>73</v>
      </c>
      <c r="E4" s="122"/>
      <c r="F4" s="323" t="s">
        <v>321</v>
      </c>
      <c r="G4" s="122"/>
      <c r="H4" s="283"/>
      <c r="I4" s="283"/>
      <c r="J4" s="324" t="s">
        <v>322</v>
      </c>
      <c r="K4" s="325" t="s">
        <v>323</v>
      </c>
      <c r="L4" s="326" t="s">
        <v>324</v>
      </c>
      <c r="M4" s="327" t="s">
        <v>325</v>
      </c>
      <c r="N4" s="327" t="s">
        <v>326</v>
      </c>
      <c r="O4" s="327" t="s">
        <v>326</v>
      </c>
      <c r="P4" s="327" t="s">
        <v>327</v>
      </c>
      <c r="Q4" s="298" t="s">
        <v>328</v>
      </c>
      <c r="R4" s="325" t="s">
        <v>323</v>
      </c>
      <c r="S4" s="326" t="s">
        <v>329</v>
      </c>
      <c r="T4" s="327" t="s">
        <v>325</v>
      </c>
      <c r="U4" s="327" t="s">
        <v>326</v>
      </c>
      <c r="V4" s="327" t="s">
        <v>326</v>
      </c>
      <c r="W4" s="327" t="s">
        <v>330</v>
      </c>
      <c r="X4" s="298" t="s">
        <v>328</v>
      </c>
      <c r="Y4" s="325" t="s">
        <v>323</v>
      </c>
      <c r="Z4" s="326" t="s">
        <v>331</v>
      </c>
      <c r="AA4" s="327" t="s">
        <v>325</v>
      </c>
      <c r="AB4" s="327" t="s">
        <v>326</v>
      </c>
      <c r="AC4" s="327" t="s">
        <v>326</v>
      </c>
      <c r="AD4" s="327" t="s">
        <v>332</v>
      </c>
      <c r="AE4" s="298" t="s">
        <v>328</v>
      </c>
      <c r="AF4" s="325" t="s">
        <v>323</v>
      </c>
      <c r="AG4" s="326" t="s">
        <v>333</v>
      </c>
      <c r="AH4" s="327" t="s">
        <v>325</v>
      </c>
      <c r="AI4" s="327" t="s">
        <v>326</v>
      </c>
      <c r="AJ4" s="327" t="s">
        <v>326</v>
      </c>
      <c r="AK4" s="327" t="s">
        <v>334</v>
      </c>
      <c r="AL4" s="298" t="s">
        <v>328</v>
      </c>
      <c r="AM4" s="325" t="s">
        <v>323</v>
      </c>
      <c r="AN4" s="326" t="s">
        <v>335</v>
      </c>
      <c r="AO4" s="327" t="s">
        <v>325</v>
      </c>
      <c r="AP4" s="327" t="s">
        <v>326</v>
      </c>
      <c r="AQ4" s="327" t="s">
        <v>326</v>
      </c>
      <c r="AR4" s="327" t="s">
        <v>336</v>
      </c>
      <c r="AS4" s="298" t="s">
        <v>328</v>
      </c>
      <c r="AT4" s="325" t="s">
        <v>323</v>
      </c>
      <c r="AU4" s="326" t="s">
        <v>337</v>
      </c>
      <c r="AV4" s="327" t="s">
        <v>325</v>
      </c>
      <c r="AW4" s="327" t="s">
        <v>326</v>
      </c>
      <c r="AX4" s="327" t="s">
        <v>326</v>
      </c>
      <c r="AY4" s="327" t="s">
        <v>338</v>
      </c>
      <c r="AZ4" s="298" t="s">
        <v>328</v>
      </c>
      <c r="BA4" s="325" t="s">
        <v>323</v>
      </c>
      <c r="BB4" s="326" t="s">
        <v>339</v>
      </c>
      <c r="BC4" s="327" t="s">
        <v>325</v>
      </c>
      <c r="BD4" s="327" t="s">
        <v>326</v>
      </c>
      <c r="BE4" s="327" t="s">
        <v>326</v>
      </c>
      <c r="BF4" s="327" t="s">
        <v>340</v>
      </c>
      <c r="BG4" s="298" t="s">
        <v>328</v>
      </c>
      <c r="BH4" s="325" t="s">
        <v>323</v>
      </c>
      <c r="BI4" s="326" t="s">
        <v>341</v>
      </c>
      <c r="BJ4" s="327" t="s">
        <v>325</v>
      </c>
      <c r="BK4" s="327" t="s">
        <v>326</v>
      </c>
      <c r="BL4" s="327" t="s">
        <v>326</v>
      </c>
      <c r="BM4" s="327" t="s">
        <v>342</v>
      </c>
      <c r="BN4" s="298" t="s">
        <v>328</v>
      </c>
      <c r="BO4" s="325" t="s">
        <v>323</v>
      </c>
      <c r="BP4" s="326" t="s">
        <v>343</v>
      </c>
      <c r="BQ4" s="327" t="s">
        <v>325</v>
      </c>
      <c r="BR4" s="327" t="s">
        <v>326</v>
      </c>
      <c r="BS4" s="327" t="s">
        <v>326</v>
      </c>
      <c r="BT4" s="327" t="s">
        <v>344</v>
      </c>
      <c r="BU4" s="298" t="s">
        <v>328</v>
      </c>
      <c r="BV4" s="325" t="s">
        <v>323</v>
      </c>
      <c r="BW4" s="326" t="s">
        <v>345</v>
      </c>
      <c r="BX4" s="327" t="s">
        <v>325</v>
      </c>
      <c r="BY4" s="327" t="s">
        <v>326</v>
      </c>
      <c r="BZ4" s="327" t="s">
        <v>326</v>
      </c>
      <c r="CA4" s="327" t="s">
        <v>346</v>
      </c>
      <c r="CB4" s="298" t="s">
        <v>328</v>
      </c>
      <c r="CC4" s="325" t="s">
        <v>323</v>
      </c>
      <c r="CD4" s="326" t="s">
        <v>347</v>
      </c>
      <c r="CE4" s="327" t="s">
        <v>325</v>
      </c>
      <c r="CF4" s="327" t="s">
        <v>326</v>
      </c>
      <c r="CG4" s="327" t="s">
        <v>326</v>
      </c>
      <c r="CH4" s="327" t="s">
        <v>348</v>
      </c>
      <c r="CI4" s="298" t="s">
        <v>328</v>
      </c>
      <c r="CJ4" s="325" t="s">
        <v>323</v>
      </c>
      <c r="CK4" s="326" t="s">
        <v>349</v>
      </c>
      <c r="CL4" s="327" t="s">
        <v>325</v>
      </c>
      <c r="CM4" s="327" t="s">
        <v>326</v>
      </c>
      <c r="CN4" s="327" t="s">
        <v>326</v>
      </c>
      <c r="CO4" s="327" t="s">
        <v>350</v>
      </c>
      <c r="CP4" s="298" t="s">
        <v>328</v>
      </c>
    </row>
    <row r="5" ht="16.5" customHeight="1">
      <c r="A5" s="328"/>
      <c r="B5" s="127"/>
      <c r="C5" s="329" t="s">
        <v>13</v>
      </c>
      <c r="D5" s="330" t="s">
        <v>15</v>
      </c>
      <c r="E5" s="331" t="s">
        <v>17</v>
      </c>
      <c r="F5" s="332" t="s">
        <v>351</v>
      </c>
      <c r="G5" s="298" t="s">
        <v>18</v>
      </c>
      <c r="H5" s="283"/>
      <c r="I5" s="283"/>
      <c r="J5" s="333" t="s">
        <v>97</v>
      </c>
      <c r="K5" s="334" t="s">
        <v>297</v>
      </c>
      <c r="L5" s="335" t="s">
        <v>300</v>
      </c>
      <c r="M5" s="335" t="s">
        <v>300</v>
      </c>
      <c r="N5" s="335"/>
      <c r="O5" s="335"/>
      <c r="P5" s="335" t="s">
        <v>300</v>
      </c>
      <c r="Q5" s="304" t="s">
        <v>352</v>
      </c>
      <c r="R5" s="334" t="s">
        <v>297</v>
      </c>
      <c r="S5" s="335" t="s">
        <v>300</v>
      </c>
      <c r="T5" s="335" t="s">
        <v>300</v>
      </c>
      <c r="U5" s="335"/>
      <c r="V5" s="335"/>
      <c r="W5" s="335" t="s">
        <v>300</v>
      </c>
      <c r="X5" s="304" t="s">
        <v>353</v>
      </c>
      <c r="Y5" s="334" t="s">
        <v>297</v>
      </c>
      <c r="Z5" s="335" t="s">
        <v>300</v>
      </c>
      <c r="AA5" s="335" t="s">
        <v>300</v>
      </c>
      <c r="AB5" s="335"/>
      <c r="AC5" s="335"/>
      <c r="AD5" s="335" t="s">
        <v>300</v>
      </c>
      <c r="AE5" s="304" t="s">
        <v>354</v>
      </c>
      <c r="AF5" s="334" t="s">
        <v>297</v>
      </c>
      <c r="AG5" s="335" t="s">
        <v>300</v>
      </c>
      <c r="AH5" s="335" t="s">
        <v>300</v>
      </c>
      <c r="AI5" s="335"/>
      <c r="AJ5" s="335"/>
      <c r="AK5" s="335" t="s">
        <v>300</v>
      </c>
      <c r="AL5" s="304" t="s">
        <v>355</v>
      </c>
      <c r="AM5" s="334" t="s">
        <v>297</v>
      </c>
      <c r="AN5" s="335" t="s">
        <v>300</v>
      </c>
      <c r="AO5" s="335" t="s">
        <v>300</v>
      </c>
      <c r="AP5" s="335"/>
      <c r="AQ5" s="335"/>
      <c r="AR5" s="335" t="s">
        <v>300</v>
      </c>
      <c r="AS5" s="304" t="s">
        <v>356</v>
      </c>
      <c r="AT5" s="334" t="s">
        <v>297</v>
      </c>
      <c r="AU5" s="335" t="s">
        <v>300</v>
      </c>
      <c r="AV5" s="335" t="s">
        <v>300</v>
      </c>
      <c r="AW5" s="335"/>
      <c r="AX5" s="335"/>
      <c r="AY5" s="335" t="s">
        <v>300</v>
      </c>
      <c r="AZ5" s="304" t="s">
        <v>357</v>
      </c>
      <c r="BA5" s="334" t="s">
        <v>297</v>
      </c>
      <c r="BB5" s="335" t="s">
        <v>300</v>
      </c>
      <c r="BC5" s="335" t="s">
        <v>300</v>
      </c>
      <c r="BD5" s="335"/>
      <c r="BE5" s="335"/>
      <c r="BF5" s="335" t="s">
        <v>300</v>
      </c>
      <c r="BG5" s="304" t="s">
        <v>358</v>
      </c>
      <c r="BH5" s="334" t="s">
        <v>297</v>
      </c>
      <c r="BI5" s="335" t="s">
        <v>300</v>
      </c>
      <c r="BJ5" s="335" t="s">
        <v>300</v>
      </c>
      <c r="BK5" s="335"/>
      <c r="BL5" s="335"/>
      <c r="BM5" s="335" t="s">
        <v>300</v>
      </c>
      <c r="BN5" s="304" t="s">
        <v>359</v>
      </c>
      <c r="BO5" s="334" t="s">
        <v>297</v>
      </c>
      <c r="BP5" s="335" t="s">
        <v>300</v>
      </c>
      <c r="BQ5" s="335" t="s">
        <v>300</v>
      </c>
      <c r="BR5" s="335"/>
      <c r="BS5" s="335"/>
      <c r="BT5" s="335" t="s">
        <v>300</v>
      </c>
      <c r="BU5" s="304" t="s">
        <v>360</v>
      </c>
      <c r="BV5" s="334" t="s">
        <v>297</v>
      </c>
      <c r="BW5" s="335" t="s">
        <v>300</v>
      </c>
      <c r="BX5" s="335" t="s">
        <v>300</v>
      </c>
      <c r="BY5" s="335"/>
      <c r="BZ5" s="335"/>
      <c r="CA5" s="335" t="s">
        <v>300</v>
      </c>
      <c r="CB5" s="304" t="s">
        <v>361</v>
      </c>
      <c r="CC5" s="334" t="s">
        <v>297</v>
      </c>
      <c r="CD5" s="335" t="s">
        <v>300</v>
      </c>
      <c r="CE5" s="335" t="s">
        <v>300</v>
      </c>
      <c r="CF5" s="335"/>
      <c r="CG5" s="335"/>
      <c r="CH5" s="335" t="s">
        <v>300</v>
      </c>
      <c r="CI5" s="304" t="s">
        <v>362</v>
      </c>
      <c r="CJ5" s="334" t="s">
        <v>297</v>
      </c>
      <c r="CK5" s="335" t="s">
        <v>300</v>
      </c>
      <c r="CL5" s="335" t="s">
        <v>300</v>
      </c>
      <c r="CM5" s="335"/>
      <c r="CN5" s="335"/>
      <c r="CO5" s="335" t="s">
        <v>300</v>
      </c>
      <c r="CP5" s="304" t="s">
        <v>363</v>
      </c>
    </row>
    <row r="6" ht="15.0" customHeight="1">
      <c r="A6" s="336" t="s">
        <v>22</v>
      </c>
      <c r="B6" s="35"/>
      <c r="C6" s="337" t="s">
        <v>23</v>
      </c>
      <c r="D6" s="338" t="s">
        <v>25</v>
      </c>
      <c r="E6" s="304" t="s">
        <v>27</v>
      </c>
      <c r="F6" s="334" t="s">
        <v>97</v>
      </c>
      <c r="G6" s="304" t="s">
        <v>364</v>
      </c>
      <c r="H6" s="283"/>
      <c r="I6" s="284" t="s">
        <v>365</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1</v>
      </c>
      <c r="D7" s="348" t="str">
        <f>'Calcoli componente'!E7</f>
        <v/>
      </c>
      <c r="E7" s="349">
        <f>'Calcoli componente'!G7</f>
        <v>0.9</v>
      </c>
      <c r="F7" s="350">
        <f>'Calcoli componente'!J7</f>
        <v>0</v>
      </c>
      <c r="G7" s="351">
        <f>'Calcoli componente'!K7</f>
        <v>0.01111111111</v>
      </c>
      <c r="H7" s="283"/>
      <c r="I7" s="329" t="s">
        <v>366</v>
      </c>
      <c r="J7" s="352">
        <f>0</f>
        <v>0</v>
      </c>
      <c r="K7" s="353">
        <f>K6-(K$6-K$18)*0.25/$G$19</f>
        <v>16.75540098</v>
      </c>
      <c r="L7" s="310" t="str">
        <f t="shared" si="1"/>
        <v>#NAME?</v>
      </c>
      <c r="M7" s="310">
        <f>M6</f>
        <v>1389.18</v>
      </c>
      <c r="N7" s="310">
        <v>0.0</v>
      </c>
      <c r="O7" s="310" t="str">
        <f>IF(AND(N7&gt;0,N7=MAX(N$7:N$17)),1,0)</f>
        <v>#DIV/0!</v>
      </c>
      <c r="P7" s="310">
        <f>M7</f>
        <v>1389.18</v>
      </c>
      <c r="Q7" s="251" t="str">
        <f>0.0000000002*(P7-P8)/($J8-$J7)</f>
        <v>#DIV/0!</v>
      </c>
      <c r="R7" s="353">
        <f>R6-(R$6-R$18)*0.25/$G$19</f>
        <v>17.21891512</v>
      </c>
      <c r="S7" s="310" t="str">
        <f t="shared" si="2"/>
        <v>#NAME?</v>
      </c>
      <c r="T7" s="310">
        <f>T6</f>
        <v>1354.44</v>
      </c>
      <c r="U7" s="310">
        <v>0.0</v>
      </c>
      <c r="V7" s="310" t="str">
        <f>IF(AND(U7&gt;0,U7=MAX(U$7:U$17)),1,0)</f>
        <v>#DIV/0!</v>
      </c>
      <c r="W7" s="310">
        <f>T7</f>
        <v>1354.44</v>
      </c>
      <c r="X7" s="251" t="str">
        <f>0.0000000002*(W7-W8)/($J8-$J7)</f>
        <v>#DIV/0!</v>
      </c>
      <c r="Y7" s="353">
        <f>Y6-(Y$6-Y$18)*0.25/$G$19</f>
        <v>18.04661896</v>
      </c>
      <c r="Z7" s="310" t="str">
        <f t="shared" si="3"/>
        <v>#NAME?</v>
      </c>
      <c r="AA7" s="310">
        <f>AA6</f>
        <v>1108.69</v>
      </c>
      <c r="AB7" s="310">
        <v>0.0</v>
      </c>
      <c r="AC7" s="310" t="str">
        <f>IF(AND(AB7&gt;0,AB7=MAX(AB$7:AB$17)),1,0)</f>
        <v>#DIV/0!</v>
      </c>
      <c r="AD7" s="310">
        <f>AA7</f>
        <v>1108.69</v>
      </c>
      <c r="AE7" s="251" t="str">
        <f>0.0000000002*(AD7-AD8)/($J8-$J7)</f>
        <v>#DIV/0!</v>
      </c>
      <c r="AF7" s="353">
        <f>AF6-(AF$6-AF$18)*0.25/$G$19</f>
        <v>18.7915524</v>
      </c>
      <c r="AG7" s="310" t="str">
        <f t="shared" si="4"/>
        <v>#NAME?</v>
      </c>
      <c r="AH7" s="310">
        <f>AH6</f>
        <v>1129.215</v>
      </c>
      <c r="AI7" s="310">
        <v>0.0</v>
      </c>
      <c r="AJ7" s="310" t="str">
        <f>IF(AND(AI7&gt;0,AI7=MAX(AI$7:AI$17)),1,0)</f>
        <v>#DIV/0!</v>
      </c>
      <c r="AK7" s="310">
        <f>AH7</f>
        <v>1129.215</v>
      </c>
      <c r="AL7" s="251" t="str">
        <f>0.0000000002*(AK7-AK8)/($J8-$J7)</f>
        <v>#DIV/0!</v>
      </c>
      <c r="AM7" s="353">
        <f>AM6-(AM$6-AM$18)*0.25/$G$19</f>
        <v>19.45371547</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19.80135108</v>
      </c>
      <c r="BP7" s="310" t="str">
        <f t="shared" si="9"/>
        <v>#NAME?</v>
      </c>
      <c r="BQ7" s="310">
        <f>BQ6</f>
        <v>1557.46</v>
      </c>
      <c r="BR7" s="310">
        <v>0.0</v>
      </c>
      <c r="BS7" s="310" t="str">
        <f>IF(AND(BR7&gt;0,BR7=MAX(BR$7:BR$17)),1,0)</f>
        <v>#DIV/0!</v>
      </c>
      <c r="BT7" s="310">
        <f>BQ7</f>
        <v>1557.46</v>
      </c>
      <c r="BU7" s="251" t="str">
        <f>0.0000000002*(BT7-BT8)/($J8-$J7)</f>
        <v>#DIV/0!</v>
      </c>
      <c r="BV7" s="353">
        <f>BV6-(BV$6-BV$18)*0.25/$G$19</f>
        <v>18.77499833</v>
      </c>
      <c r="BW7" s="310" t="str">
        <f t="shared" si="10"/>
        <v>#NAME?</v>
      </c>
      <c r="BX7" s="310">
        <f>BX6</f>
        <v>1509.67</v>
      </c>
      <c r="BY7" s="310">
        <v>0.0</v>
      </c>
      <c r="BZ7" s="310" t="str">
        <f>IF(AND(BY7&gt;0,BY7=MAX(BY$7:BY$17)),1,0)</f>
        <v>#DIV/0!</v>
      </c>
      <c r="CA7" s="310">
        <f>BX7</f>
        <v>1509.67</v>
      </c>
      <c r="CB7" s="251" t="str">
        <f>0.0000000002*(CA7-CA8)/($J8-$J7)</f>
        <v>#DIV/0!</v>
      </c>
      <c r="CC7" s="353">
        <f>CC6-(CC$6-CC$18)*0.25/$G$19</f>
        <v>17.81486188</v>
      </c>
      <c r="CD7" s="310" t="str">
        <f t="shared" si="11"/>
        <v>#NAME?</v>
      </c>
      <c r="CE7" s="310">
        <f>CE6</f>
        <v>1429.06</v>
      </c>
      <c r="CF7" s="310">
        <v>0.0</v>
      </c>
      <c r="CG7" s="310" t="str">
        <f>IF(AND(CF7&gt;0,CF7=MAX(CF$7:CF$17)),1,0)</f>
        <v>#DIV/0!</v>
      </c>
      <c r="CH7" s="310">
        <f>CE7</f>
        <v>1429.06</v>
      </c>
      <c r="CI7" s="251" t="str">
        <f>0.0000000002*(CH7-CH8)/($J8-$J7)</f>
        <v>#DIV/0!</v>
      </c>
      <c r="CJ7" s="353">
        <f>CJ6-(CJ$6-CJ$18)*0.25/$G$19</f>
        <v>17.0202662</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18</v>
      </c>
      <c r="D8" s="309" t="str">
        <f>'Calcoli componente'!E8</f>
        <v/>
      </c>
      <c r="E8" s="356">
        <f>'Calcoli componente'!G8</f>
        <v>0.6</v>
      </c>
      <c r="F8" s="357">
        <f>'Calcoli componente'!J8</f>
        <v>0</v>
      </c>
      <c r="G8" s="358">
        <f>'Calcoli componente'!K8</f>
        <v>0.3</v>
      </c>
      <c r="H8" s="283"/>
      <c r="I8" s="329" t="s">
        <v>367</v>
      </c>
      <c r="J8" s="352">
        <f t="shared" ref="J8:J17" si="13">J7+F7</f>
        <v>0</v>
      </c>
      <c r="K8" s="353">
        <f t="shared" ref="K8:K17" si="14">K7-(K$6-K$18)*$G7/$G$19</f>
        <v>16.61119658</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17.09531135</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17.95980202</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18.73784362</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19.42943616</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19.79252224</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18.72055381</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17.71774463</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16.88783359</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4" t="str">
        <f>IF('Caratteristiche componente'!C9&lt;&gt;"",'Caratteristiche componente'!C9,"")</f>
        <v>iso</v>
      </c>
      <c r="C9" s="355">
        <f>'Calcoli componente'!C9</f>
        <v>4</v>
      </c>
      <c r="D9" s="309" t="str">
        <f>'Calcoli componente'!E9</f>
        <v/>
      </c>
      <c r="E9" s="356">
        <f>'Calcoli componente'!G9</f>
        <v>0.044</v>
      </c>
      <c r="F9" s="357">
        <f>'Calcoli componente'!J9</f>
        <v>0</v>
      </c>
      <c r="G9" s="358">
        <f>'Calcoli componente'!K9</f>
        <v>0.9090909091</v>
      </c>
      <c r="H9" s="283"/>
      <c r="I9" s="329" t="s">
        <v>368</v>
      </c>
      <c r="J9" s="352">
        <f t="shared" si="13"/>
        <v>0</v>
      </c>
      <c r="K9" s="353">
        <f t="shared" si="14"/>
        <v>12.71767775</v>
      </c>
      <c r="L9" s="310" t="str">
        <f t="shared" si="1"/>
        <v>#NAME?</v>
      </c>
      <c r="M9" s="310" t="str">
        <f t="shared" si="15"/>
        <v>#DIV/0!</v>
      </c>
      <c r="N9" s="310" t="str">
        <f t="shared" si="16"/>
        <v>#DIV/0!</v>
      </c>
      <c r="O9" s="310" t="str">
        <f>IF(AND(N9&gt;0,N9=MAX(N$7:N$17)),3,0)</f>
        <v>#DIV/0!</v>
      </c>
      <c r="P9" s="310">
        <f t="shared" si="17"/>
        <v>1389.18</v>
      </c>
      <c r="Q9" s="251" t="str">
        <f t="shared" si="18"/>
        <v>#DIV/0!</v>
      </c>
      <c r="R9" s="353">
        <f t="shared" si="19"/>
        <v>13.7580095</v>
      </c>
      <c r="S9" s="310" t="str">
        <f t="shared" si="2"/>
        <v>#NAME?</v>
      </c>
      <c r="T9" s="310" t="str">
        <f t="shared" si="20"/>
        <v>#DIV/0!</v>
      </c>
      <c r="U9" s="310" t="str">
        <f t="shared" si="21"/>
        <v>#DIV/0!</v>
      </c>
      <c r="V9" s="310" t="str">
        <f>IF(AND(U9&gt;0,U9=MAX(U$7:U$17)),3,0)</f>
        <v>#DIV/0!</v>
      </c>
      <c r="W9" s="310">
        <f t="shared" si="22"/>
        <v>1354.44</v>
      </c>
      <c r="X9" s="251" t="str">
        <f t="shared" si="23"/>
        <v>#DIV/0!</v>
      </c>
      <c r="Y9" s="353">
        <f t="shared" si="24"/>
        <v>15.61574477</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17.28770651</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18.77389472</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19.55414354</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17.2505518</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15.09557889</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13.31215303</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369</v>
      </c>
      <c r="J10" s="352">
        <f t="shared" si="13"/>
        <v>0</v>
      </c>
      <c r="K10" s="353">
        <f t="shared" si="14"/>
        <v>0.9191358438</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3.64497358</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8.512540967</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12.89335162</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16.78740552</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18.83178383</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12.79600027</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7.149622099</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2.476757408</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370</v>
      </c>
      <c r="J11" s="352">
        <f t="shared" si="13"/>
        <v>0</v>
      </c>
      <c r="K11" s="353">
        <f t="shared" si="14"/>
        <v>0.9191358438</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3.64497358</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8.512540967</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12.89335162</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16.78740552</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18.83178383</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12.79600027</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7.149622099</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2.476757408</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371</v>
      </c>
      <c r="J12" s="352">
        <f t="shared" si="13"/>
        <v>0</v>
      </c>
      <c r="K12" s="353">
        <f t="shared" si="14"/>
        <v>0.9191358438</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3.64497358</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8.512540967</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12.89335162</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16.78740552</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18.83178383</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12.79600027</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7.149622099</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2.476757408</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372</v>
      </c>
      <c r="J13" s="352">
        <f t="shared" si="13"/>
        <v>0</v>
      </c>
      <c r="K13" s="353">
        <f t="shared" si="14"/>
        <v>0.9191358438</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3.64497358</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8.512540967</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12.89335162</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16.78740552</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18.83178383</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12.79600027</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7.149622099</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2.476757408</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373</v>
      </c>
      <c r="J14" s="352">
        <f t="shared" si="13"/>
        <v>0</v>
      </c>
      <c r="K14" s="353">
        <f t="shared" si="14"/>
        <v>0.9191358438</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3.64497358</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8.512540967</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12.89335162</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16.78740552</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18.83178383</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12.79600027</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7.149622099</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2.476757408</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374</v>
      </c>
      <c r="J15" s="352">
        <f t="shared" si="13"/>
        <v>0</v>
      </c>
      <c r="K15" s="353">
        <f t="shared" si="14"/>
        <v>0.9191358438</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3.64497358</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8.512540967</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12.89335162</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16.78740552</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18.83178383</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12.79600027</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7.149622099</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2.476757408</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375</v>
      </c>
      <c r="J16" s="352">
        <f t="shared" si="13"/>
        <v>0</v>
      </c>
      <c r="K16" s="353">
        <f t="shared" si="14"/>
        <v>0.9191358438</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3.64497358</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8.512540967</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12.89335162</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16.78740552</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18.83178383</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12.79600027</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7.149622099</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2.476757408</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110</v>
      </c>
      <c r="B17" s="364"/>
      <c r="C17" s="365">
        <f>SUM(C$7:C$16)</f>
        <v>23</v>
      </c>
      <c r="D17" s="364"/>
      <c r="E17" s="366"/>
      <c r="F17" s="367">
        <f t="shared" ref="F17:G17" si="74">SUM(F$7:F$16)</f>
        <v>0</v>
      </c>
      <c r="G17" s="368">
        <f t="shared" si="74"/>
        <v>1.22020202</v>
      </c>
      <c r="H17" s="283"/>
      <c r="I17" s="329" t="s">
        <v>376</v>
      </c>
      <c r="J17" s="352">
        <f t="shared" si="13"/>
        <v>0</v>
      </c>
      <c r="K17" s="353">
        <f t="shared" si="14"/>
        <v>0.9191358438</v>
      </c>
      <c r="L17" s="310" t="str">
        <f t="shared" si="1"/>
        <v>#NAME?</v>
      </c>
      <c r="M17" s="310">
        <f>M18</f>
        <v>516</v>
      </c>
      <c r="N17" s="310" t="str">
        <f t="shared" si="16"/>
        <v>#NAME?</v>
      </c>
      <c r="O17" s="310" t="str">
        <f>IF(AND(N17&gt;0,N17=MAX(N$7:N$17)),11,0)</f>
        <v>#NAME?</v>
      </c>
      <c r="P17" s="310">
        <f>M17</f>
        <v>516</v>
      </c>
      <c r="Q17" s="369"/>
      <c r="R17" s="353">
        <f t="shared" si="19"/>
        <v>3.64497358</v>
      </c>
      <c r="S17" s="310" t="str">
        <f t="shared" si="2"/>
        <v>#NAME?</v>
      </c>
      <c r="T17" s="310">
        <f>T18</f>
        <v>606</v>
      </c>
      <c r="U17" s="310" t="str">
        <f t="shared" si="21"/>
        <v>#NAME?</v>
      </c>
      <c r="V17" s="310" t="str">
        <f>IF(AND(U17&gt;0,U17=MAX(U$7:U$17)),11,0)</f>
        <v>#NAME?</v>
      </c>
      <c r="W17" s="310">
        <f>T17</f>
        <v>606</v>
      </c>
      <c r="X17" s="369"/>
      <c r="Y17" s="353">
        <f t="shared" si="24"/>
        <v>8.512540967</v>
      </c>
      <c r="Z17" s="310" t="str">
        <f t="shared" si="3"/>
        <v>#NAME?</v>
      </c>
      <c r="AA17" s="310">
        <f>AA18</f>
        <v>583</v>
      </c>
      <c r="AB17" s="310" t="str">
        <f t="shared" si="26"/>
        <v>#NAME?</v>
      </c>
      <c r="AC17" s="310" t="str">
        <f>IF(AND(AB17&gt;0,AB17=MAX(AB$7:AB$17)),11,0)</f>
        <v>#NAME?</v>
      </c>
      <c r="AD17" s="310">
        <f>AA17</f>
        <v>583</v>
      </c>
      <c r="AE17" s="369"/>
      <c r="AF17" s="353">
        <f t="shared" si="29"/>
        <v>12.89335162</v>
      </c>
      <c r="AG17" s="310" t="str">
        <f t="shared" si="4"/>
        <v>#NAME?</v>
      </c>
      <c r="AH17" s="310">
        <f>AH18</f>
        <v>804</v>
      </c>
      <c r="AI17" s="310" t="str">
        <f t="shared" si="31"/>
        <v>#NAME?</v>
      </c>
      <c r="AJ17" s="310" t="str">
        <f>IF(AND(AI17&gt;0,AI17=MAX(AI$7:AI$17)),11,0)</f>
        <v>#NAME?</v>
      </c>
      <c r="AK17" s="310">
        <f>AH17</f>
        <v>804</v>
      </c>
      <c r="AL17" s="369"/>
      <c r="AM17" s="353">
        <f t="shared" si="34"/>
        <v>16.78740552</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18.83178383</v>
      </c>
      <c r="BP17" s="310" t="str">
        <f t="shared" si="9"/>
        <v>#NAME?</v>
      </c>
      <c r="BQ17" s="310">
        <f>BQ18</f>
        <v>1504</v>
      </c>
      <c r="BR17" s="310" t="str">
        <f t="shared" si="56"/>
        <v>#NAME?</v>
      </c>
      <c r="BS17" s="310" t="str">
        <f>IF(AND(BR17&gt;0,BR17=MAX(BR$7:BR$17)),11,0)</f>
        <v>#NAME?</v>
      </c>
      <c r="BT17" s="310">
        <f>BQ17</f>
        <v>1504</v>
      </c>
      <c r="BU17" s="369"/>
      <c r="BV17" s="353">
        <f t="shared" si="59"/>
        <v>12.79600027</v>
      </c>
      <c r="BW17" s="310" t="str">
        <f t="shared" si="10"/>
        <v>#NAME?</v>
      </c>
      <c r="BX17" s="310">
        <f>BX18</f>
        <v>1180</v>
      </c>
      <c r="BY17" s="310" t="str">
        <f t="shared" si="61"/>
        <v>#NAME?</v>
      </c>
      <c r="BZ17" s="310" t="str">
        <f>IF(AND(BY17&gt;0,BY17=MAX(BY$7:BY$17)),11,0)</f>
        <v>#NAME?</v>
      </c>
      <c r="CA17" s="310">
        <f>BX17</f>
        <v>1180</v>
      </c>
      <c r="CB17" s="369"/>
      <c r="CC17" s="353">
        <f t="shared" si="64"/>
        <v>7.149622099</v>
      </c>
      <c r="CD17" s="310" t="str">
        <f t="shared" si="11"/>
        <v>#NAME?</v>
      </c>
      <c r="CE17" s="310">
        <f>CE18</f>
        <v>841</v>
      </c>
      <c r="CF17" s="310" t="str">
        <f t="shared" si="66"/>
        <v>#NAME?</v>
      </c>
      <c r="CG17" s="310" t="str">
        <f>IF(AND(CF17&gt;0,CF17=MAX(CF$7:CF$17)),11,0)</f>
        <v>#NAME?</v>
      </c>
      <c r="CH17" s="310">
        <f>CE17</f>
        <v>841</v>
      </c>
      <c r="CI17" s="369"/>
      <c r="CJ17" s="353">
        <f t="shared" si="69"/>
        <v>2.476757408</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377</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1.51020202</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378</v>
      </c>
      <c r="K20" s="376">
        <f>(K7-K18)/(K6-K18)</f>
        <v>0.8344592335</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379</v>
      </c>
      <c r="F25" s="292" t="s">
        <v>380</v>
      </c>
      <c r="G25" s="292" t="s">
        <v>381</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320</v>
      </c>
      <c r="D26" s="283"/>
      <c r="E26" s="332" t="s">
        <v>300</v>
      </c>
      <c r="F26" s="298" t="s">
        <v>300</v>
      </c>
      <c r="G26" s="298" t="s">
        <v>382</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383</v>
      </c>
      <c r="G28" s="384" t="s">
        <v>384</v>
      </c>
      <c r="H28" s="292" t="s">
        <v>325</v>
      </c>
      <c r="I28" s="292" t="s">
        <v>385</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97</v>
      </c>
      <c r="G29" s="335" t="s">
        <v>300</v>
      </c>
      <c r="H29" s="304" t="s">
        <v>300</v>
      </c>
      <c r="I29" s="304" t="s">
        <v>300</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366</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367</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368</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369</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370</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371</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372</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373</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374</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375</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376</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6" t="s">
        <v>398</v>
      </c>
      <c r="C2" s="390" t="s">
        <v>399</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400</v>
      </c>
      <c r="C3" s="390" t="s">
        <v>401</v>
      </c>
      <c r="D3" s="391">
        <v>0.0</v>
      </c>
      <c r="E3" s="391">
        <v>2.8</v>
      </c>
      <c r="F3" s="391">
        <v>8.1</v>
      </c>
      <c r="G3" s="391">
        <v>13.1</v>
      </c>
      <c r="H3" s="391">
        <v>17.3</v>
      </c>
      <c r="I3" s="391">
        <v>22.0</v>
      </c>
      <c r="J3" s="391">
        <v>24.7</v>
      </c>
      <c r="K3" s="391">
        <v>23.6</v>
      </c>
      <c r="L3" s="391">
        <v>19.9</v>
      </c>
      <c r="M3" s="391">
        <v>13.1</v>
      </c>
      <c r="N3" s="391">
        <v>6.9</v>
      </c>
      <c r="O3" s="391">
        <v>1.9</v>
      </c>
    </row>
    <row r="4" ht="15.0" customHeight="1">
      <c r="B4" s="106" t="s">
        <v>402</v>
      </c>
      <c r="C4" s="390" t="s">
        <v>403</v>
      </c>
      <c r="D4" s="391">
        <v>6.3</v>
      </c>
      <c r="E4" s="391">
        <v>7.1</v>
      </c>
      <c r="F4" s="391">
        <v>9.9</v>
      </c>
      <c r="G4" s="391">
        <v>13.4</v>
      </c>
      <c r="H4" s="391">
        <v>17.0</v>
      </c>
      <c r="I4" s="391">
        <v>21.8</v>
      </c>
      <c r="J4" s="391">
        <v>24.4</v>
      </c>
      <c r="K4" s="391">
        <v>24.1</v>
      </c>
      <c r="L4" s="391">
        <v>21.3</v>
      </c>
      <c r="M4" s="391">
        <v>16.5</v>
      </c>
      <c r="N4" s="391">
        <v>12.1</v>
      </c>
      <c r="O4" s="391">
        <v>7.8</v>
      </c>
    </row>
    <row r="5" ht="15.0" customHeight="1">
      <c r="B5" s="106" t="s">
        <v>404</v>
      </c>
      <c r="C5" s="390" t="s">
        <v>401</v>
      </c>
      <c r="D5" s="391">
        <v>-0.3</v>
      </c>
      <c r="E5" s="391">
        <v>2.6</v>
      </c>
      <c r="F5" s="391">
        <v>6.7</v>
      </c>
      <c r="G5" s="391">
        <v>11.0</v>
      </c>
      <c r="H5" s="391">
        <v>14.7</v>
      </c>
      <c r="I5" s="391">
        <v>18.7</v>
      </c>
      <c r="J5" s="391">
        <v>20.5</v>
      </c>
      <c r="K5" s="391">
        <v>19.4</v>
      </c>
      <c r="L5" s="391">
        <v>15.9</v>
      </c>
      <c r="M5" s="391">
        <v>10.3</v>
      </c>
      <c r="N5" s="391">
        <v>4.8</v>
      </c>
      <c r="O5" s="391">
        <v>0.8</v>
      </c>
    </row>
    <row r="6" ht="15.0" customHeight="1">
      <c r="B6" s="106" t="s">
        <v>405</v>
      </c>
      <c r="C6" s="390" t="s">
        <v>401</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406</v>
      </c>
      <c r="C7" s="390" t="s">
        <v>401</v>
      </c>
      <c r="D7" s="391">
        <v>5.1</v>
      </c>
      <c r="E7" s="391">
        <v>5.9</v>
      </c>
      <c r="F7" s="391">
        <v>9.2</v>
      </c>
      <c r="G7" s="391">
        <v>12.6</v>
      </c>
      <c r="H7" s="391">
        <v>16.4</v>
      </c>
      <c r="I7" s="391">
        <v>20.9</v>
      </c>
      <c r="J7" s="391">
        <v>24.0</v>
      </c>
      <c r="K7" s="391">
        <v>23.4</v>
      </c>
      <c r="L7" s="391">
        <v>20.3</v>
      </c>
      <c r="M7" s="391">
        <v>15.0</v>
      </c>
      <c r="N7" s="391">
        <v>10.2</v>
      </c>
      <c r="O7" s="391">
        <v>6.1</v>
      </c>
    </row>
    <row r="8" ht="15.0" customHeight="1">
      <c r="B8" s="106" t="s">
        <v>407</v>
      </c>
      <c r="C8" s="390" t="s">
        <v>403</v>
      </c>
      <c r="D8" s="391">
        <v>5.5</v>
      </c>
      <c r="E8" s="391">
        <v>6.6</v>
      </c>
      <c r="F8" s="391">
        <v>9.5</v>
      </c>
      <c r="G8" s="391">
        <v>13.3</v>
      </c>
      <c r="H8" s="391">
        <v>17.2</v>
      </c>
      <c r="I8" s="391">
        <v>21.7</v>
      </c>
      <c r="J8" s="391">
        <v>24.4</v>
      </c>
      <c r="K8" s="391">
        <v>24.3</v>
      </c>
      <c r="L8" s="391">
        <v>21.1</v>
      </c>
      <c r="M8" s="391">
        <v>15.8</v>
      </c>
      <c r="N8" s="391">
        <v>10.9</v>
      </c>
      <c r="O8" s="391">
        <v>7.0</v>
      </c>
    </row>
    <row r="9" ht="15.0" customHeight="1">
      <c r="B9" s="106" t="s">
        <v>408</v>
      </c>
      <c r="C9" s="390" t="s">
        <v>401</v>
      </c>
      <c r="D9" s="391">
        <v>-0.4</v>
      </c>
      <c r="E9" s="391">
        <v>2.7</v>
      </c>
      <c r="F9" s="391">
        <v>7.9</v>
      </c>
      <c r="G9" s="391">
        <v>13.0</v>
      </c>
      <c r="H9" s="391">
        <v>17.0</v>
      </c>
      <c r="I9" s="391">
        <v>21.6</v>
      </c>
      <c r="J9" s="391">
        <v>24.2</v>
      </c>
      <c r="K9" s="391">
        <v>22.9</v>
      </c>
      <c r="L9" s="391">
        <v>18.9</v>
      </c>
      <c r="M9" s="391">
        <v>12.7</v>
      </c>
      <c r="N9" s="391">
        <v>6.1</v>
      </c>
      <c r="O9" s="391">
        <v>1.3</v>
      </c>
    </row>
    <row r="10" ht="15.0" customHeight="1">
      <c r="B10" s="106" t="s">
        <v>409</v>
      </c>
      <c r="C10" s="390" t="s">
        <v>403</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410</v>
      </c>
      <c r="C11" s="390" t="s">
        <v>82</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411</v>
      </c>
      <c r="C12" s="390" t="s">
        <v>401</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412</v>
      </c>
      <c r="C13" s="390" t="s">
        <v>82</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413</v>
      </c>
      <c r="C14" s="390" t="s">
        <v>401</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414</v>
      </c>
      <c r="C15" s="390" t="s">
        <v>401</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415</v>
      </c>
      <c r="C16" s="390" t="s">
        <v>401</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416</v>
      </c>
      <c r="C17" s="390" t="s">
        <v>401</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417</v>
      </c>
      <c r="C18" s="390" t="s">
        <v>82</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418</v>
      </c>
      <c r="C19" s="390" t="s">
        <v>82</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419</v>
      </c>
      <c r="C20" s="390" t="s">
        <v>403</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420</v>
      </c>
      <c r="C21" s="390" t="s">
        <v>401</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421</v>
      </c>
      <c r="C22" s="390" t="s">
        <v>82</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422</v>
      </c>
      <c r="C23" s="390" t="s">
        <v>399</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423</v>
      </c>
      <c r="C24" s="390" t="s">
        <v>82</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424</v>
      </c>
      <c r="C25" s="390" t="s">
        <v>403</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425</v>
      </c>
      <c r="C26" s="390" t="s">
        <v>401</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426</v>
      </c>
      <c r="C27" s="390" t="s">
        <v>82</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427</v>
      </c>
      <c r="C28" s="390" t="s">
        <v>401</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428</v>
      </c>
      <c r="C29" s="390" t="s">
        <v>399</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429</v>
      </c>
      <c r="C30" s="390" t="s">
        <v>430</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431</v>
      </c>
      <c r="C31" s="390" t="s">
        <v>401</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432</v>
      </c>
      <c r="C32" s="390" t="s">
        <v>401</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433</v>
      </c>
      <c r="C33" s="390" t="s">
        <v>403</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434</v>
      </c>
      <c r="C34" s="390" t="s">
        <v>403</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435</v>
      </c>
      <c r="C35" s="390" t="s">
        <v>403</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436</v>
      </c>
      <c r="C36" s="390" t="s">
        <v>401</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437</v>
      </c>
      <c r="C37" s="390" t="s">
        <v>403</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438</v>
      </c>
      <c r="C38" s="390" t="s">
        <v>401</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439</v>
      </c>
      <c r="C39" s="390" t="s">
        <v>403</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440</v>
      </c>
      <c r="C40" s="390" t="s">
        <v>82</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441</v>
      </c>
      <c r="C41" s="390" t="s">
        <v>403</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442</v>
      </c>
      <c r="C42" s="390" t="s">
        <v>82</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443</v>
      </c>
      <c r="C43" s="390" t="s">
        <v>82</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444</v>
      </c>
      <c r="C44" s="390" t="s">
        <v>401</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445</v>
      </c>
      <c r="C45" s="390" t="s">
        <v>403</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446</v>
      </c>
      <c r="C46" s="390" t="s">
        <v>401</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447</v>
      </c>
      <c r="C47" s="390" t="s">
        <v>403</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448</v>
      </c>
      <c r="C48" s="390" t="s">
        <v>403</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449</v>
      </c>
      <c r="C49" s="390" t="s">
        <v>401</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450</v>
      </c>
      <c r="C50" s="390" t="s">
        <v>403</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451</v>
      </c>
      <c r="C51" s="390" t="s">
        <v>403</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452</v>
      </c>
      <c r="C52" s="390" t="s">
        <v>399</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453</v>
      </c>
      <c r="C53" s="390" t="s">
        <v>401</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454</v>
      </c>
      <c r="C54" s="390" t="s">
        <v>401</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455</v>
      </c>
      <c r="C55" s="390" t="s">
        <v>82</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456</v>
      </c>
      <c r="C56" s="390" t="s">
        <v>401</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457</v>
      </c>
      <c r="C57" s="390" t="s">
        <v>403</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458</v>
      </c>
      <c r="C58" s="390" t="s">
        <v>82</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459</v>
      </c>
      <c r="C59" s="390" t="s">
        <v>401</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460</v>
      </c>
      <c r="C60" s="390" t="s">
        <v>399</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461</v>
      </c>
      <c r="C61" s="390" t="s">
        <v>401</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462</v>
      </c>
      <c r="C62" s="390" t="s">
        <v>401</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463</v>
      </c>
      <c r="C63" s="390" t="s">
        <v>401</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464</v>
      </c>
      <c r="C64" s="390" t="s">
        <v>403</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465</v>
      </c>
      <c r="C65" s="390" t="s">
        <v>403</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466</v>
      </c>
      <c r="C66" s="390" t="s">
        <v>401</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467</v>
      </c>
      <c r="C67" s="390" t="s">
        <v>403</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468</v>
      </c>
      <c r="C68" s="390" t="s">
        <v>403</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469</v>
      </c>
      <c r="C69" s="390" t="s">
        <v>401</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470</v>
      </c>
      <c r="C70" s="390" t="s">
        <v>401</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471</v>
      </c>
      <c r="C71" s="390" t="s">
        <v>403</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472</v>
      </c>
      <c r="C72" s="390" t="s">
        <v>82</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473</v>
      </c>
      <c r="C73" s="390" t="s">
        <v>401</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474</v>
      </c>
      <c r="C74" s="390" t="s">
        <v>399</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475</v>
      </c>
      <c r="C75" s="390" t="s">
        <v>401</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476</v>
      </c>
      <c r="C76" s="390" t="s">
        <v>401</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477</v>
      </c>
      <c r="C77" s="390" t="s">
        <v>401</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478</v>
      </c>
      <c r="C78" s="390" t="s">
        <v>403</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479</v>
      </c>
      <c r="C79" s="390" t="s">
        <v>401</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480</v>
      </c>
      <c r="C80" s="390" t="s">
        <v>82</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481</v>
      </c>
      <c r="C81" s="390" t="s">
        <v>82</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482</v>
      </c>
      <c r="C82" s="390" t="s">
        <v>403</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483</v>
      </c>
      <c r="C83" s="390" t="s">
        <v>403</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484</v>
      </c>
      <c r="C84" s="390" t="s">
        <v>399</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485</v>
      </c>
      <c r="C85" s="390" t="s">
        <v>401</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486</v>
      </c>
      <c r="C86" s="390" t="s">
        <v>403</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487</v>
      </c>
      <c r="C87" s="390" t="s">
        <v>82</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488</v>
      </c>
      <c r="C88" s="390" t="s">
        <v>403</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489</v>
      </c>
      <c r="C89" s="390" t="s">
        <v>403</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282</v>
      </c>
      <c r="C90" s="390" t="s">
        <v>401</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490</v>
      </c>
      <c r="C91" s="390" t="s">
        <v>399</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491</v>
      </c>
      <c r="C92" s="390" t="s">
        <v>401</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492</v>
      </c>
      <c r="C93" s="390" t="s">
        <v>401</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493</v>
      </c>
      <c r="C94" s="390" t="s">
        <v>403</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494</v>
      </c>
      <c r="C95" s="390" t="s">
        <v>401</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495</v>
      </c>
      <c r="C96" s="390" t="s">
        <v>401</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496</v>
      </c>
      <c r="C97" s="390" t="s">
        <v>401</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497</v>
      </c>
      <c r="C98" s="390" t="s">
        <v>401</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498</v>
      </c>
      <c r="C99" s="390" t="s">
        <v>401</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499</v>
      </c>
      <c r="C100" s="390" t="s">
        <v>403</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500</v>
      </c>
      <c r="C101" s="390" t="s">
        <v>401</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501</v>
      </c>
      <c r="C102" s="390" t="s">
        <v>403</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6" t="s">
        <v>398</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400</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402</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404</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405</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406</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407</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408</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409</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410</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411</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412</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413</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414</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415</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416</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417</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418</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419</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420</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421</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422</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423</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424</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425</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426</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427</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428</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429</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431</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432</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433</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434</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435</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436</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437</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438</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439</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440</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441</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442</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443</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444</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445</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446</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447</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448</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449</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450</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451</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452</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453</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454</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455</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456</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457</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458</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459</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460</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461</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462</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463</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464</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465</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466</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467</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468</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469</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470</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471</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472</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473</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474</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475</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476</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477</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478</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479</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480</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481</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482</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483</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484</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485</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486</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487</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488</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489</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282</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490</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491</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492</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493</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494</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495</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496</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497</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498</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499</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500</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501</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502</v>
      </c>
      <c r="C2" s="398" t="s">
        <v>503</v>
      </c>
      <c r="D2" s="398" t="s">
        <v>504</v>
      </c>
      <c r="E2" s="398" t="s">
        <v>505</v>
      </c>
      <c r="F2" s="398" t="s">
        <v>506</v>
      </c>
      <c r="G2" s="399" t="s">
        <v>507</v>
      </c>
      <c r="H2" s="400" t="s">
        <v>508</v>
      </c>
      <c r="I2" s="396"/>
      <c r="J2" s="396"/>
      <c r="K2" s="396"/>
      <c r="L2" s="396"/>
      <c r="M2" s="396"/>
      <c r="N2" s="396"/>
      <c r="O2" s="396"/>
      <c r="P2" s="396"/>
      <c r="Q2" s="396"/>
      <c r="R2" s="396"/>
      <c r="S2" s="396"/>
      <c r="T2" s="396"/>
      <c r="U2" s="396"/>
      <c r="V2" s="396"/>
      <c r="W2" s="396"/>
      <c r="X2" s="396"/>
      <c r="Y2" s="396"/>
      <c r="Z2" s="396"/>
    </row>
    <row r="3" ht="12.75" customHeight="1">
      <c r="A3" s="396"/>
      <c r="B3" s="401" t="s">
        <v>509</v>
      </c>
      <c r="C3" s="402" t="s">
        <v>510</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511</v>
      </c>
      <c r="C4" s="408" t="s">
        <v>512</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511</v>
      </c>
      <c r="C5" s="408" t="s">
        <v>512</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511</v>
      </c>
      <c r="C6" s="408" t="s">
        <v>512</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511</v>
      </c>
      <c r="C7" s="408" t="s">
        <v>513</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511</v>
      </c>
      <c r="C8" s="408" t="s">
        <v>513</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511</v>
      </c>
      <c r="C9" s="408" t="s">
        <v>513</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511</v>
      </c>
      <c r="C10" s="408" t="s">
        <v>513</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511</v>
      </c>
      <c r="C11" s="408" t="s">
        <v>513</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511</v>
      </c>
      <c r="C12" s="408" t="s">
        <v>513</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511</v>
      </c>
      <c r="C13" s="408" t="s">
        <v>513</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511</v>
      </c>
      <c r="C14" s="408" t="s">
        <v>513</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511</v>
      </c>
      <c r="C15" s="408" t="s">
        <v>514</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511</v>
      </c>
      <c r="C16" s="408" t="s">
        <v>514</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511</v>
      </c>
      <c r="C17" s="408" t="s">
        <v>514</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511</v>
      </c>
      <c r="C18" s="408" t="s">
        <v>514</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511</v>
      </c>
      <c r="C19" s="408" t="s">
        <v>514</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511</v>
      </c>
      <c r="C20" s="408" t="s">
        <v>514</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511</v>
      </c>
      <c r="C21" s="408" t="s">
        <v>515</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511</v>
      </c>
      <c r="C22" s="408" t="s">
        <v>515</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511</v>
      </c>
      <c r="C23" s="408" t="s">
        <v>515</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511</v>
      </c>
      <c r="C24" s="408" t="s">
        <v>515</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511</v>
      </c>
      <c r="C25" s="408" t="s">
        <v>515</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511</v>
      </c>
      <c r="C26" s="408" t="s">
        <v>516</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511</v>
      </c>
      <c r="C27" s="408" t="s">
        <v>516</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511</v>
      </c>
      <c r="C28" s="408" t="s">
        <v>516</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511</v>
      </c>
      <c r="C29" s="408" t="s">
        <v>517</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511</v>
      </c>
      <c r="C30" s="408" t="s">
        <v>517</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518</v>
      </c>
      <c r="C31" s="408" t="s">
        <v>519</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518</v>
      </c>
      <c r="C32" s="408" t="s">
        <v>520</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518</v>
      </c>
      <c r="C33" s="408" t="s">
        <v>521</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518</v>
      </c>
      <c r="C34" s="408" t="s">
        <v>522</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523</v>
      </c>
      <c r="C35" s="408" t="s">
        <v>524</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523</v>
      </c>
      <c r="C36" s="408" t="s">
        <v>524</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523</v>
      </c>
      <c r="C37" s="408" t="s">
        <v>524</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523</v>
      </c>
      <c r="C38" s="408" t="s">
        <v>525</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523</v>
      </c>
      <c r="C39" s="408" t="s">
        <v>525</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523</v>
      </c>
      <c r="C40" s="408" t="s">
        <v>525</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523</v>
      </c>
      <c r="C41" s="408" t="s">
        <v>526</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523</v>
      </c>
      <c r="C42" s="408" t="s">
        <v>527</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523</v>
      </c>
      <c r="C43" s="408" t="s">
        <v>527</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523</v>
      </c>
      <c r="C44" s="408" t="s">
        <v>528</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523</v>
      </c>
      <c r="C45" s="408" t="s">
        <v>528</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523</v>
      </c>
      <c r="C46" s="408" t="s">
        <v>529</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523</v>
      </c>
      <c r="C47" s="408" t="s">
        <v>529</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523</v>
      </c>
      <c r="C48" s="408" t="s">
        <v>529</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523</v>
      </c>
      <c r="C49" s="408" t="s">
        <v>530</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523</v>
      </c>
      <c r="C50" s="408" t="s">
        <v>531</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523</v>
      </c>
      <c r="C51" s="408" t="s">
        <v>531</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523</v>
      </c>
      <c r="C52" s="408" t="s">
        <v>531</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523</v>
      </c>
      <c r="C53" s="408" t="s">
        <v>532</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523</v>
      </c>
      <c r="C54" s="408" t="s">
        <v>533</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523</v>
      </c>
      <c r="C55" s="408" t="s">
        <v>533</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523</v>
      </c>
      <c r="C56" s="408" t="s">
        <v>533</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523</v>
      </c>
      <c r="C57" s="408" t="s">
        <v>533</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523</v>
      </c>
      <c r="C58" s="408" t="s">
        <v>533</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534</v>
      </c>
      <c r="C59" s="408" t="s">
        <v>535</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534</v>
      </c>
      <c r="C60" s="408" t="s">
        <v>535</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534</v>
      </c>
      <c r="C61" s="408" t="s">
        <v>535</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534</v>
      </c>
      <c r="C62" s="408" t="s">
        <v>535</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534</v>
      </c>
      <c r="C63" s="408" t="s">
        <v>535</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534</v>
      </c>
      <c r="C64" s="408" t="s">
        <v>536</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534</v>
      </c>
      <c r="C65" s="408" t="s">
        <v>537</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534</v>
      </c>
      <c r="C66" s="408" t="s">
        <v>538</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534</v>
      </c>
      <c r="C67" s="408" t="s">
        <v>539</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540</v>
      </c>
      <c r="C68" s="408" t="s">
        <v>541</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540</v>
      </c>
      <c r="C69" s="408" t="s">
        <v>541</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540</v>
      </c>
      <c r="C70" s="408" t="s">
        <v>541</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540</v>
      </c>
      <c r="C71" s="408" t="s">
        <v>541</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540</v>
      </c>
      <c r="C72" s="408" t="s">
        <v>541</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540</v>
      </c>
      <c r="C73" s="408" t="s">
        <v>541</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540</v>
      </c>
      <c r="C74" s="408" t="s">
        <v>541</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540</v>
      </c>
      <c r="C75" s="408" t="s">
        <v>541</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542</v>
      </c>
      <c r="C76" s="408" t="s">
        <v>543</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542</v>
      </c>
      <c r="C77" s="408" t="s">
        <v>544</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542</v>
      </c>
      <c r="C78" s="408" t="s">
        <v>545</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542</v>
      </c>
      <c r="C79" s="418" t="s">
        <v>546</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542</v>
      </c>
      <c r="C80" s="408" t="s">
        <v>547</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542</v>
      </c>
      <c r="C81" s="418" t="s">
        <v>548</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542</v>
      </c>
      <c r="C82" s="408" t="s">
        <v>549</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542</v>
      </c>
      <c r="C83" s="418" t="s">
        <v>550</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551</v>
      </c>
      <c r="C84" s="408" t="s">
        <v>552</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551</v>
      </c>
      <c r="C85" s="408" t="s">
        <v>552</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551</v>
      </c>
      <c r="C86" s="408" t="s">
        <v>552</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551</v>
      </c>
      <c r="C87" s="408" t="s">
        <v>552</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553</v>
      </c>
      <c r="C88" s="408" t="s">
        <v>554</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553</v>
      </c>
      <c r="C89" s="408" t="s">
        <v>555</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553</v>
      </c>
      <c r="C90" s="408" t="s">
        <v>556</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553</v>
      </c>
      <c r="C91" s="408" t="s">
        <v>557</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553</v>
      </c>
      <c r="C92" s="408" t="s">
        <v>558</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553</v>
      </c>
      <c r="C93" s="408" t="s">
        <v>559</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560</v>
      </c>
      <c r="C94" s="408" t="s">
        <v>561</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560</v>
      </c>
      <c r="C95" s="408" t="s">
        <v>561</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560</v>
      </c>
      <c r="C96" s="408" t="s">
        <v>561</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560</v>
      </c>
      <c r="C97" s="408" t="s">
        <v>562</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560</v>
      </c>
      <c r="C98" s="408" t="s">
        <v>563</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560</v>
      </c>
      <c r="C99" s="408" t="s">
        <v>564</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560</v>
      </c>
      <c r="C100" s="408" t="s">
        <v>565</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560</v>
      </c>
      <c r="C101" s="408" t="s">
        <v>566</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560</v>
      </c>
      <c r="C102" s="408" t="s">
        <v>566</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560</v>
      </c>
      <c r="C103" s="408" t="s">
        <v>567</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560</v>
      </c>
      <c r="C104" s="408" t="s">
        <v>568</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560</v>
      </c>
      <c r="C105" s="408" t="s">
        <v>569</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560</v>
      </c>
      <c r="C106" s="418" t="s">
        <v>570</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571</v>
      </c>
      <c r="C107" s="408" t="s">
        <v>572</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571</v>
      </c>
      <c r="C108" s="408" t="s">
        <v>572</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571</v>
      </c>
      <c r="C109" s="408" t="s">
        <v>573</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571</v>
      </c>
      <c r="C110" s="408" t="s">
        <v>573</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571</v>
      </c>
      <c r="C111" s="408" t="s">
        <v>574</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571</v>
      </c>
      <c r="C112" s="408" t="s">
        <v>574</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571</v>
      </c>
      <c r="C113" s="408" t="s">
        <v>575</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571</v>
      </c>
      <c r="C114" s="408" t="s">
        <v>576</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571</v>
      </c>
      <c r="C115" s="408" t="s">
        <v>576</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571</v>
      </c>
      <c r="C116" s="408" t="s">
        <v>576</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571</v>
      </c>
      <c r="C117" s="408" t="s">
        <v>577</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571</v>
      </c>
      <c r="C118" s="408" t="s">
        <v>577</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571</v>
      </c>
      <c r="C119" s="408" t="s">
        <v>577</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571</v>
      </c>
      <c r="C120" s="408" t="s">
        <v>577</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571</v>
      </c>
      <c r="C121" s="408" t="s">
        <v>577</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571</v>
      </c>
      <c r="C122" s="408" t="s">
        <v>578</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571</v>
      </c>
      <c r="C123" s="408" t="s">
        <v>578</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571</v>
      </c>
      <c r="C124" s="408" t="s">
        <v>578</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571</v>
      </c>
      <c r="C125" s="408" t="s">
        <v>579</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571</v>
      </c>
      <c r="C126" s="408" t="s">
        <v>579</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571</v>
      </c>
      <c r="C127" s="408" t="s">
        <v>580</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571</v>
      </c>
      <c r="C128" s="408" t="s">
        <v>580</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571</v>
      </c>
      <c r="C129" s="408" t="s">
        <v>581</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571</v>
      </c>
      <c r="C130" s="408" t="s">
        <v>581</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571</v>
      </c>
      <c r="C131" s="408" t="s">
        <v>581</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571</v>
      </c>
      <c r="C132" s="408" t="s">
        <v>581</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571</v>
      </c>
      <c r="C133" s="408" t="s">
        <v>582</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571</v>
      </c>
      <c r="C134" s="408" t="s">
        <v>582</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571</v>
      </c>
      <c r="C135" s="408" t="s">
        <v>583</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571</v>
      </c>
      <c r="C136" s="408" t="s">
        <v>584</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571</v>
      </c>
      <c r="C137" s="408" t="s">
        <v>584</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571</v>
      </c>
      <c r="C138" s="408" t="s">
        <v>584</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571</v>
      </c>
      <c r="C139" s="408" t="s">
        <v>585</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571</v>
      </c>
      <c r="C140" s="408" t="s">
        <v>585</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571</v>
      </c>
      <c r="C141" s="408" t="s">
        <v>585</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571</v>
      </c>
      <c r="C142" s="408" t="s">
        <v>585</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586</v>
      </c>
      <c r="C143" s="408" t="s">
        <v>587</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586</v>
      </c>
      <c r="C144" s="408" t="s">
        <v>588</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586</v>
      </c>
      <c r="C145" s="408" t="s">
        <v>589</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586</v>
      </c>
      <c r="C146" s="408" t="s">
        <v>590</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586</v>
      </c>
      <c r="C147" s="408" t="s">
        <v>591</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586</v>
      </c>
      <c r="C148" s="408" t="s">
        <v>592</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586</v>
      </c>
      <c r="C149" s="408" t="s">
        <v>593</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586</v>
      </c>
      <c r="C150" s="408" t="s">
        <v>594</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586</v>
      </c>
      <c r="C151" s="408" t="s">
        <v>595</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586</v>
      </c>
      <c r="C152" s="408" t="s">
        <v>596</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586</v>
      </c>
      <c r="C153" s="408" t="s">
        <v>597</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586</v>
      </c>
      <c r="C154" s="408" t="s">
        <v>598</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586</v>
      </c>
      <c r="C155" s="408" t="s">
        <v>599</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586</v>
      </c>
      <c r="C156" s="408" t="s">
        <v>600</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586</v>
      </c>
      <c r="C157" s="408" t="s">
        <v>601</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602</v>
      </c>
      <c r="C158" s="408" t="s">
        <v>603</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602</v>
      </c>
      <c r="C159" s="408" t="s">
        <v>604</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602</v>
      </c>
      <c r="C160" s="408" t="s">
        <v>605</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602</v>
      </c>
      <c r="C161" s="408" t="s">
        <v>606</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602</v>
      </c>
      <c r="C162" s="408" t="s">
        <v>607</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602</v>
      </c>
      <c r="C163" s="408" t="s">
        <v>608</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602</v>
      </c>
      <c r="C164" s="408" t="s">
        <v>609</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602</v>
      </c>
      <c r="C165" s="408" t="s">
        <v>610</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602</v>
      </c>
      <c r="C166" s="408" t="s">
        <v>611</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602</v>
      </c>
      <c r="C167" s="408" t="s">
        <v>612</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602</v>
      </c>
      <c r="C168" s="408" t="s">
        <v>613</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602</v>
      </c>
      <c r="C169" s="408" t="s">
        <v>614</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602</v>
      </c>
      <c r="C170" s="408" t="s">
        <v>615</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616</v>
      </c>
      <c r="C171" s="408" t="s">
        <v>617</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616</v>
      </c>
      <c r="C172" s="408" t="s">
        <v>618</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616</v>
      </c>
      <c r="C173" s="408" t="s">
        <v>618</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616</v>
      </c>
      <c r="C174" s="408" t="s">
        <v>618</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616</v>
      </c>
      <c r="C175" s="408" t="s">
        <v>619</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616</v>
      </c>
      <c r="C176" s="408" t="s">
        <v>619</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616</v>
      </c>
      <c r="C177" s="408" t="s">
        <v>619</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616</v>
      </c>
      <c r="C178" s="408" t="s">
        <v>619</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616</v>
      </c>
      <c r="C179" s="408" t="s">
        <v>620</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616</v>
      </c>
      <c r="C180" s="408" t="s">
        <v>620</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616</v>
      </c>
      <c r="C181" s="408" t="s">
        <v>620</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616</v>
      </c>
      <c r="C182" s="408" t="s">
        <v>621</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616</v>
      </c>
      <c r="C183" s="408" t="s">
        <v>621</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616</v>
      </c>
      <c r="C184" s="408" t="s">
        <v>621</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616</v>
      </c>
      <c r="C185" s="408" t="s">
        <v>622</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616</v>
      </c>
      <c r="C186" s="408" t="s">
        <v>623</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616</v>
      </c>
      <c r="C187" s="408" t="s">
        <v>624</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616</v>
      </c>
      <c r="C188" s="408" t="s">
        <v>624</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616</v>
      </c>
      <c r="C189" s="408" t="s">
        <v>624</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625</v>
      </c>
      <c r="C190" s="408" t="s">
        <v>626</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627</v>
      </c>
      <c r="C191" s="408" t="s">
        <v>628</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627</v>
      </c>
      <c r="C192" s="408" t="s">
        <v>629</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627</v>
      </c>
      <c r="C193" s="408" t="s">
        <v>630</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627</v>
      </c>
      <c r="C194" s="408" t="s">
        <v>630</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627</v>
      </c>
      <c r="C195" s="408" t="s">
        <v>630</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627</v>
      </c>
      <c r="C196" s="408" t="s">
        <v>630</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627</v>
      </c>
      <c r="C197" s="408" t="s">
        <v>631</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627</v>
      </c>
      <c r="C198" s="408" t="s">
        <v>632</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627</v>
      </c>
      <c r="C199" s="408" t="s">
        <v>633</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627</v>
      </c>
      <c r="C200" s="408" t="s">
        <v>634</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627</v>
      </c>
      <c r="C201" s="408" t="s">
        <v>634</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627</v>
      </c>
      <c r="C202" s="408" t="s">
        <v>635</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627</v>
      </c>
      <c r="C203" s="408" t="s">
        <v>636</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627</v>
      </c>
      <c r="C204" s="408" t="s">
        <v>637</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627</v>
      </c>
      <c r="C205" s="408" t="s">
        <v>638</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627</v>
      </c>
      <c r="C206" s="408" t="s">
        <v>639</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627</v>
      </c>
      <c r="C207" s="408" t="s">
        <v>640</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627</v>
      </c>
      <c r="C208" s="408" t="s">
        <v>641</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627</v>
      </c>
      <c r="C209" s="408" t="s">
        <v>642</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627</v>
      </c>
      <c r="C210" s="408" t="s">
        <v>642</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643</v>
      </c>
      <c r="C211" s="408" t="s">
        <v>644</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643</v>
      </c>
      <c r="C212" s="408" t="s">
        <v>644</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645</v>
      </c>
      <c r="C213" s="408" t="s">
        <v>646</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645</v>
      </c>
      <c r="C214" s="408" t="s">
        <v>646</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645</v>
      </c>
      <c r="C215" s="408" t="s">
        <v>646</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645</v>
      </c>
      <c r="C216" s="422" t="s">
        <v>647</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72</v>
      </c>
      <c r="C1" s="427" t="s">
        <v>72</v>
      </c>
      <c r="D1" s="396"/>
      <c r="E1" s="396"/>
      <c r="F1" s="396"/>
      <c r="G1" s="396"/>
      <c r="H1" s="396"/>
      <c r="I1" s="396"/>
      <c r="J1" s="396"/>
      <c r="K1" s="396"/>
      <c r="L1" s="428" t="s">
        <v>648</v>
      </c>
      <c r="M1" s="428" t="s">
        <v>649</v>
      </c>
      <c r="N1" s="428" t="s">
        <v>650</v>
      </c>
      <c r="O1" s="428" t="s">
        <v>651</v>
      </c>
      <c r="P1" s="428" t="s">
        <v>652</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653</v>
      </c>
      <c r="N2" s="396"/>
      <c r="O2" s="396"/>
      <c r="P2" s="428" t="s">
        <v>654</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655</v>
      </c>
      <c r="F4" s="429">
        <f>'Calcoli componente'!L26</f>
        <v>0.7351849101</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19</v>
      </c>
      <c r="C6" s="427">
        <f>C5+'Caratteristiche componente'!$D8</f>
        <v>19</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23</v>
      </c>
      <c r="C7" s="427">
        <f>C6+'Caratteristiche componente'!$D9</f>
        <v>23</v>
      </c>
      <c r="D7" s="396"/>
      <c r="E7" s="396" t="s">
        <v>656</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23</v>
      </c>
      <c r="C8" s="427">
        <f>C7+'Caratteristiche componente'!$D10</f>
        <v>23</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23</v>
      </c>
      <c r="C9" s="427">
        <f>C8+'Caratteristiche componente'!$D11</f>
        <v>23</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23</v>
      </c>
      <c r="C10" s="427">
        <f>C9+'Caratteristiche componente'!$D12</f>
        <v>23</v>
      </c>
      <c r="D10" s="396"/>
      <c r="E10" s="396" t="s">
        <v>657</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23</v>
      </c>
      <c r="C11" s="427">
        <f>C10+'Caratteristiche componente'!$D13</f>
        <v>23</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23</v>
      </c>
      <c r="C12" s="427">
        <f>C11+'Caratteristiche componente'!$D14</f>
        <v>23</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23</v>
      </c>
      <c r="C13" s="427">
        <f>C12+'Caratteristiche componente'!$D15</f>
        <v>23</v>
      </c>
      <c r="D13" s="396"/>
      <c r="E13" s="396" t="s">
        <v>658</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23</v>
      </c>
      <c r="C14" s="427">
        <f>C13+'Caratteristiche componente'!$D16</f>
        <v>23</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
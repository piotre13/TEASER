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pvs_t">#REF!</definedName>
    <definedName localSheetId="9" name="OLE_LINK1">Materiali!$C$2</definedName>
    <definedName name="ngiorni">#REF!</definedName>
    <definedName name="imese">#REF!</definedName>
    <definedName name="tsat">#REF!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<sst xmlns="http://schemas.openxmlformats.org/spreadsheetml/2006/main" count="1623" uniqueCount="658">
  <si>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</si>
  <si>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</si>
  <si>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</si>
  <si>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</si>
  <si>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</si>
  <si>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</si>
  <si>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</si>
  <si>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</si>
  <si>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</si>
  <si>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</si>
  <si>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</si>
  <si>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</si>
  <si>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</si>
  <si>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</si>
  <si>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</si>
  <si>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</si>
  <si>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</si>
  <si>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</si>
  <si>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</si>
  <si>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</si>
  <si>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</si>
  <si>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</si>
  <si>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</si>
  <si>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</si>
  <si>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</si>
  <si>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</si>
  <si>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</si>
  <si>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</si>
  <si>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</si>
  <si>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</si>
  <si>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</si>
  <si>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</si>
  <si>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</si>
  <si>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</si>
  <si>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</si>
  <si>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</si>
  <si>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</si>
  <si>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</si>
  <si>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</si>
  <si>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</si>
  <si>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</si>
  <si>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</si>
  <si>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</si>
  <si>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</si>
  <si>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</si>
  <si>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</si>
  <si>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cls</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</si>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</sst>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0" xfId="0" applyAlignment="1" applyBorder="1" applyFon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573426054"/>
        <c:axId val="639505450"/>
      </c:scatterChart>
      <c:valAx>
        <c:axId val="57342605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9505450"/>
      </c:valAx>
      <c:valAx>
        <c:axId val="63950545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3426054"/>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1987433"/>
        <c:axId val="1260269626"/>
      </c:scatterChart>
      <c:valAx>
        <c:axId val="2198743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0269626"/>
      </c:valAx>
      <c:valAx>
        <c:axId val="126026962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987433"/>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354180306"/>
        <c:axId val="1357470251"/>
      </c:scatterChart>
      <c:valAx>
        <c:axId val="135418030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7470251"/>
      </c:valAx>
      <c:valAx>
        <c:axId val="135747025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4180306"/>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33740850"/>
        <c:axId val="576815031"/>
      </c:scatterChart>
      <c:valAx>
        <c:axId val="73374085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6815031"/>
      </c:valAx>
      <c:valAx>
        <c:axId val="576815031"/>
        <c:scaling>
          <c:orientation val="minMax"/>
        </c:scaling>
        <c:delete val="0"/>
        <c:axPos val="l"/>
        <c:tickLblPos val="nextTo"/>
        <c:spPr>
          <a:ln>
            <a:noFill/>
          </a:ln>
        </c:spPr>
        <c:crossAx val="73374085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07451063"/>
        <c:axId val="2041915353"/>
      </c:scatterChart>
      <c:valAx>
        <c:axId val="40745106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1915353"/>
      </c:valAx>
      <c:valAx>
        <c:axId val="2041915353"/>
        <c:scaling>
          <c:orientation val="minMax"/>
        </c:scaling>
        <c:delete val="0"/>
        <c:axPos val="l"/>
        <c:tickLblPos val="nextTo"/>
        <c:spPr>
          <a:ln>
            <a:noFill/>
          </a:ln>
        </c:spPr>
        <c:crossAx val="407451063"/>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879997435"/>
        <c:axId val="18527577"/>
      </c:scatterChart>
      <c:valAx>
        <c:axId val="8799974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27577"/>
      </c:valAx>
      <c:valAx>
        <c:axId val="1852757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9997435"/>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c r="D8" s="73"/>
      <c r="E8" s="74"/>
      <c r="F8" s="75"/>
      <c r="G8" s="76"/>
      <c r="H8" s="77"/>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75" customHeight="1">
      <c r="A9" s="18"/>
      <c r="B9" s="71" t="str">
        <f>ROMAN(3)</f>
        <v>III</v>
      </c>
      <c r="C9" s="72" t="s">
        <v>46</v>
      </c>
      <c r="D9" s="73">
        <v>12.0</v>
      </c>
      <c r="E9" s="74"/>
      <c r="F9" s="75"/>
      <c r="G9" s="76"/>
      <c r="H9" s="77">
        <v>1.16</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77"/>
      <c r="I10" s="78"/>
      <c r="J10" s="79"/>
      <c r="K10" s="18"/>
      <c r="L10" s="18"/>
      <c r="M10" s="89" t="s">
        <v>50</v>
      </c>
      <c r="N10" s="90" t="str">
        <f>'Calcoli componente'!$E$44</f>
        <v>#DIV/0!</v>
      </c>
      <c r="O10" s="91" t="s">
        <v>51</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52</v>
      </c>
      <c r="N11" s="95">
        <f>'Calcoli componente'!$K$26</f>
        <v>0.374559387</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54</v>
      </c>
      <c r="N12" s="99">
        <f>'Calcoli componente'!$L$26</f>
        <v>2.669803601</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t="str">
        <f>'Calcoli componente'!$L$33</f>
        <v>#DIV/0!</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13</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59</v>
      </c>
      <c r="N16" s="106">
        <f>'Calcoli componente'!I17</f>
        <v>0</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0.13</v>
      </c>
      <c r="J17" s="111"/>
      <c r="K17" s="18"/>
      <c r="L17" s="18"/>
      <c r="M17" s="89" t="s">
        <v>62</v>
      </c>
      <c r="N17" s="112" t="str">
        <f>ABS((SIGN($P$8)*(ABS($P$8)/24-INT(ABS($P$8)/24))-IF(AND($P$8&gt;0,(ABS($P$8)/24-INT(ABS($P$8)/24))&lt;&gt;0),1,0))*24)</f>
        <v>#DIV/0!</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v>
      </c>
      <c r="C7" s="140">
        <f>'Caratteristiche componente'!D7</f>
        <v>1</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0.9</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0.01111111111</v>
      </c>
      <c r="L7" s="147">
        <f t="shared" ref="L7:L17" si="4">IF($C7&gt;0,1/$K7,"")</f>
        <v>90</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156" t="str">
        <f>IF('Caratteristiche componente'!C8&lt;&gt;"",'Caratteristiche componente'!C8,"")</f>
        <v/>
      </c>
      <c r="C8" s="157" t="str">
        <f>'Caratteristiche componente'!D8</f>
        <v/>
      </c>
      <c r="D8" s="74" t="str">
        <f>IF('Caratteristiche componente'!E8&lt;&gt;"",'Caratteristiche componente'!E8,"")</f>
        <v/>
      </c>
      <c r="E8" s="74" t="str">
        <f>IF('Caratteristiche componente'!F8&lt;&gt;"",'Caratteristiche componente'!F8,"")</f>
        <v/>
      </c>
      <c r="F8" s="76" t="str">
        <f>IF('Caratteristiche componente'!G8&lt;&gt;"",'Caratteristiche componente'!G8,"")</f>
        <v/>
      </c>
      <c r="G8" s="77" t="str">
        <f>IF('Caratteristiche componente'!H8&lt;&gt;"",'Caratteristiche componente'!H8,IF('Caratteristiche componente'!I8&lt;&gt;"",C8/100/'Caratteristiche componente'!I8,""))</f>
        <v/>
      </c>
      <c r="H8" s="158" t="str">
        <f t="shared" si="1"/>
        <v/>
      </c>
      <c r="I8" s="159">
        <f t="shared" si="2"/>
        <v>0</v>
      </c>
      <c r="J8" s="160">
        <f>IF($C8&gt;0,IF(OR('Caratteristiche componente'!$C8="intercapedine",'Caratteristiche componente'!$C8="aria",'Caratteristiche componente'!$C8="intercapedine d'aria"),0.01,$C8/100*$E8),0)</f>
        <v>0</v>
      </c>
      <c r="K8" s="161">
        <f t="shared" si="3"/>
        <v>0</v>
      </c>
      <c r="L8" s="161" t="str">
        <f t="shared" si="4"/>
        <v/>
      </c>
      <c r="M8" s="162">
        <f t="shared" si="5"/>
        <v>0</v>
      </c>
      <c r="N8" s="18"/>
      <c r="O8" s="163">
        <f>$M8*($K$22+$K$16+$K$15+$K$14+$K$13+$K$12+$K$11+$K$10+$K$9+$K8/2)</f>
        <v>0</v>
      </c>
      <c r="P8" s="162">
        <f>$M8*($K$21+$K$7+$K8/2)</f>
        <v>0</v>
      </c>
      <c r="Q8" s="18"/>
      <c r="R8" s="164">
        <f t="shared" si="6"/>
        <v>0</v>
      </c>
      <c r="S8" s="165">
        <f t="shared" si="7"/>
        <v>0</v>
      </c>
      <c r="T8" s="165">
        <f t="shared" si="8"/>
        <v>1</v>
      </c>
      <c r="U8" s="165">
        <f t="shared" si="9"/>
        <v>0</v>
      </c>
      <c r="V8" s="165">
        <f t="shared" si="10"/>
        <v>0</v>
      </c>
      <c r="W8" s="166">
        <f t="shared" si="11"/>
        <v>0</v>
      </c>
      <c r="X8" s="164">
        <f t="shared" si="12"/>
        <v>1</v>
      </c>
      <c r="Y8" s="165">
        <f t="shared" si="13"/>
        <v>0</v>
      </c>
      <c r="Z8" s="165">
        <f t="shared" si="14"/>
        <v>1</v>
      </c>
      <c r="AA8" s="167">
        <f t="shared" si="15"/>
        <v>0</v>
      </c>
      <c r="AB8" s="168">
        <f t="shared" si="16"/>
        <v>0</v>
      </c>
      <c r="AC8" s="164">
        <f t="shared" si="17"/>
        <v>0</v>
      </c>
      <c r="AD8" s="165">
        <f t="shared" si="18"/>
        <v>0</v>
      </c>
      <c r="AE8" s="165">
        <f t="shared" si="19"/>
        <v>0</v>
      </c>
      <c r="AF8" s="167">
        <f t="shared" si="20"/>
        <v>0</v>
      </c>
      <c r="AG8" s="168">
        <f t="shared" si="21"/>
        <v>0</v>
      </c>
      <c r="AH8" s="164">
        <f t="shared" si="22"/>
        <v>0</v>
      </c>
      <c r="AI8" s="165">
        <f t="shared" si="23"/>
        <v>0</v>
      </c>
      <c r="AJ8" s="165">
        <f t="shared" si="24"/>
        <v>0</v>
      </c>
      <c r="AK8" s="167">
        <f t="shared" si="25"/>
        <v>0</v>
      </c>
      <c r="AL8" s="168">
        <f t="shared" si="26"/>
        <v>0</v>
      </c>
      <c r="AM8" s="169">
        <f t="shared" si="27"/>
        <v>1</v>
      </c>
      <c r="AN8" s="165">
        <f t="shared" si="28"/>
        <v>0</v>
      </c>
      <c r="AO8" s="165">
        <f t="shared" si="29"/>
        <v>1</v>
      </c>
      <c r="AP8" s="167">
        <f t="shared" si="30"/>
        <v>0</v>
      </c>
      <c r="AQ8" s="168">
        <f t="shared" si="31"/>
        <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cls</v>
      </c>
      <c r="C9" s="157">
        <f>'Caratteristiche componente'!D9</f>
        <v>12</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1.16</v>
      </c>
      <c r="H9" s="158" t="str">
        <f t="shared" si="1"/>
        <v>#DIV/0!</v>
      </c>
      <c r="I9" s="159">
        <f t="shared" si="2"/>
        <v>0</v>
      </c>
      <c r="J9" s="160">
        <f>IF($C9&gt;0,IF(OR('Caratteristiche componente'!$C9="intercapedine",'Caratteristiche componente'!$C9="aria",'Caratteristiche componente'!$C9="intercapedine d'aria"),0.01,$C9/100*$E9),0)</f>
        <v>0</v>
      </c>
      <c r="K9" s="161">
        <f t="shared" si="3"/>
        <v>0.1034482759</v>
      </c>
      <c r="L9" s="161">
        <f t="shared" si="4"/>
        <v>9.666666667</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56" t="str">
        <f>IF('Caratteristiche componente'!C10&lt;&gt;"",'Caratteristiche componente'!C10,"")</f>
        <v/>
      </c>
      <c r="C10" s="157"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8" t="str">
        <f t="shared" si="1"/>
        <v/>
      </c>
      <c r="I10" s="159">
        <f t="shared" si="2"/>
        <v>0</v>
      </c>
      <c r="J10" s="160">
        <f>IF($C10&gt;0,IF(OR('Caratteristiche componente'!$C10="intercapedine",'Caratteristiche componente'!$C10="aria",'Caratteristiche componente'!$C10="intercapedine d'aria"),0.01,$C10/100*$E10),0)</f>
        <v>0</v>
      </c>
      <c r="K10" s="161">
        <f t="shared" si="3"/>
        <v>0</v>
      </c>
      <c r="L10" s="161"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56" t="str">
        <f>IF('Caratteristiche componente'!C11&lt;&gt;"",'Caratteristiche componente'!C11,"")</f>
        <v/>
      </c>
      <c r="C11" s="157"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8" t="str">
        <f t="shared" si="1"/>
        <v/>
      </c>
      <c r="I11" s="159">
        <f t="shared" si="2"/>
        <v>0</v>
      </c>
      <c r="J11" s="160">
        <f>IF($C11&gt;0,IF(OR('Caratteristiche componente'!$C11="intercapedine",'Caratteristiche componente'!$C11="aria",'Caratteristiche componente'!$C11="intercapedine d'aria"),0.01,$C11/100*$E11),0)</f>
        <v>0</v>
      </c>
      <c r="K11" s="161">
        <f t="shared" si="3"/>
        <v>0</v>
      </c>
      <c r="L11" s="161"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56" t="str">
        <f>IF('Caratteristiche componente'!C12&lt;&gt;"",'Caratteristiche componente'!C12,"")</f>
        <v/>
      </c>
      <c r="C12" s="157"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8" t="str">
        <f t="shared" si="1"/>
        <v/>
      </c>
      <c r="I12" s="159">
        <f t="shared" si="2"/>
        <v>0</v>
      </c>
      <c r="J12" s="160">
        <f>IF($C12&gt;0,IF(OR('Caratteristiche componente'!$C12="intercapedine",'Caratteristiche componente'!$C12="aria",'Caratteristiche componente'!$C12="intercapedine d'aria"),0.01,$C12/100*$E12),0)</f>
        <v>0</v>
      </c>
      <c r="K12" s="161">
        <f t="shared" si="3"/>
        <v>0</v>
      </c>
      <c r="L12" s="161"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56" t="str">
        <f>IF('Caratteristiche componente'!C13&lt;&gt;"",'Caratteristiche componente'!C13,"")</f>
        <v/>
      </c>
      <c r="C13" s="157"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8" t="str">
        <f t="shared" si="1"/>
        <v/>
      </c>
      <c r="I13" s="159">
        <f t="shared" si="2"/>
        <v>0</v>
      </c>
      <c r="J13" s="160">
        <f>IF($C13&gt;0,IF(OR('Caratteristiche componente'!$C13="intercapedine",'Caratteristiche componente'!$C13="aria",'Caratteristiche componente'!$C13="intercapedine d'aria"),0.01,$C13/100*$E13),0)</f>
        <v>0</v>
      </c>
      <c r="K13" s="161">
        <f t="shared" si="3"/>
        <v>0</v>
      </c>
      <c r="L13" s="161"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56" t="str">
        <f>IF('Caratteristiche componente'!C14&lt;&gt;"",'Caratteristiche componente'!C14,"")</f>
        <v/>
      </c>
      <c r="C14" s="157"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8" t="str">
        <f t="shared" si="1"/>
        <v/>
      </c>
      <c r="I14" s="159">
        <f t="shared" si="2"/>
        <v>0</v>
      </c>
      <c r="J14" s="160">
        <f>IF($C14&gt;0,IF(OR('Caratteristiche componente'!$C14="intercapedine",'Caratteristiche componente'!$C14="aria",'Caratteristiche componente'!$C14="intercapedine d'aria"),0.01,$C14/100*$E14),0)</f>
        <v>0</v>
      </c>
      <c r="K14" s="161">
        <f t="shared" si="3"/>
        <v>0</v>
      </c>
      <c r="L14" s="161"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56" t="str">
        <f>IF('Caratteristiche componente'!C15&lt;&gt;"",'Caratteristiche componente'!C15,"")</f>
        <v/>
      </c>
      <c r="C15" s="157"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8" t="str">
        <f t="shared" si="1"/>
        <v/>
      </c>
      <c r="I15" s="159">
        <f t="shared" si="2"/>
        <v>0</v>
      </c>
      <c r="J15" s="160">
        <f>IF($C15&gt;0,IF(OR('Caratteristiche componente'!$C15="intercapedine",'Caratteristiche componente'!$C15="aria",'Caratteristiche componente'!$C15="intercapedine d'aria"),0.01,$C15/100*$E15),0)</f>
        <v>0</v>
      </c>
      <c r="K15" s="161">
        <f t="shared" si="3"/>
        <v>0</v>
      </c>
      <c r="L15" s="161"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13</v>
      </c>
      <c r="D17" s="188"/>
      <c r="E17" s="190"/>
      <c r="F17" s="190"/>
      <c r="G17" s="190"/>
      <c r="H17" s="191"/>
      <c r="I17" s="192">
        <f t="shared" ref="I17:K17" si="32">SUM(I$7:I$16)</f>
        <v>0</v>
      </c>
      <c r="J17" s="193">
        <f t="shared" si="32"/>
        <v>0</v>
      </c>
      <c r="K17" s="193">
        <f t="shared" si="32"/>
        <v>0.114559387</v>
      </c>
      <c r="L17" s="194">
        <f t="shared" si="4"/>
        <v>8.72909699</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0.374559387</v>
      </c>
      <c r="L26" s="216">
        <f>1/$K$26</f>
        <v>2.669803601</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155</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t="str">
        <f>'Calcoli componente'!$X$7</f>
        <v>#DIV/0!</v>
      </c>
      <c r="I3" s="249" t="str">
        <f>'Calcoli componente'!$Y$7</f>
        <v>#DIV/0!</v>
      </c>
      <c r="J3" s="249" t="str">
        <f>'Calcoli componente'!$AC$7</f>
        <v>#DIV/0!</v>
      </c>
      <c r="K3" s="250" t="str">
        <f>'Calcoli componente'!$AD$7</f>
        <v>#DIV/0!</v>
      </c>
      <c r="L3" s="248">
        <f>'Calcoli componente'!$X$8</f>
        <v>1</v>
      </c>
      <c r="M3" s="249">
        <f>'Calcoli componente'!$Y$8</f>
        <v>0</v>
      </c>
      <c r="N3" s="249">
        <f>'Calcoli componente'!$AC$8</f>
        <v>0</v>
      </c>
      <c r="O3" s="250">
        <f>'Calcoli componente'!$AD$8</f>
        <v>0</v>
      </c>
      <c r="P3" s="248" t="str">
        <f>'Calcoli componente'!$X$9</f>
        <v>#DIV/0!</v>
      </c>
      <c r="Q3" s="249" t="str">
        <f>'Calcoli componente'!$Y$9</f>
        <v>#DIV/0!</v>
      </c>
      <c r="R3" s="249" t="str">
        <f>'Calcoli componente'!$AC$9</f>
        <v>#DIV/0!</v>
      </c>
      <c r="S3" s="250" t="str">
        <f>'Calcoli componente'!$AD$9</f>
        <v>#DIV/0!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t="str">
        <f>-'Calcoli componente'!$Y$7</f>
        <v>#DIV/0!</v>
      </c>
      <c r="I4" s="249" t="str">
        <f>'Calcoli componente'!$X$7</f>
        <v>#DIV/0!</v>
      </c>
      <c r="J4" s="249" t="str">
        <f>-'Calcoli componente'!$AD$7</f>
        <v>#DIV/0!</v>
      </c>
      <c r="K4" s="250" t="str">
        <f>'Calcoli componente'!$AC$7</f>
        <v>#DIV/0!</v>
      </c>
      <c r="L4" s="248">
        <f>-'Calcoli componente'!$Y$8</f>
        <v>0</v>
      </c>
      <c r="M4" s="249">
        <f>'Calcoli componente'!$X$8</f>
        <v>1</v>
      </c>
      <c r="N4" s="249">
        <f>-'Calcoli componente'!$AD$8</f>
        <v>0</v>
      </c>
      <c r="O4" s="250">
        <f>'Calcoli componente'!$AC$8</f>
        <v>0</v>
      </c>
      <c r="P4" s="248" t="str">
        <f>-'Calcoli componente'!$Y$9</f>
        <v>#DIV/0!</v>
      </c>
      <c r="Q4" s="249" t="str">
        <f>'Calcoli componente'!$X$9</f>
        <v>#DIV/0!</v>
      </c>
      <c r="R4" s="249" t="str">
        <f>-'Calcoli componente'!$AD$9</f>
        <v>#DIV/0!</v>
      </c>
      <c r="S4" s="250" t="str">
        <f>'Calcoli componente'!$AC$9</f>
        <v>#DIV/0!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f>'Calcoli componente'!$AH$8</f>
        <v>0</v>
      </c>
      <c r="M5" s="249">
        <f>'Calcoli componente'!$AI$8</f>
        <v>0</v>
      </c>
      <c r="N5" s="249">
        <f>'Calcoli componente'!$AM$8</f>
        <v>1</v>
      </c>
      <c r="O5" s="250">
        <f>'Calcoli componente'!$AN$8</f>
        <v>0</v>
      </c>
      <c r="P5" s="248" t="str">
        <f>'Calcoli componente'!$AH$9</f>
        <v>#DIV/0!</v>
      </c>
      <c r="Q5" s="249" t="str">
        <f>'Calcoli componente'!$AI$9</f>
        <v>#DIV/0!</v>
      </c>
      <c r="R5" s="249" t="str">
        <f>'Calcoli componente'!$AM$9</f>
        <v>#DIV/0!</v>
      </c>
      <c r="S5" s="250" t="str">
        <f>'Calcoli componente'!$AN$9</f>
        <v>#DIV/0!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f>-'Calcoli componente'!$AI$8</f>
        <v>0</v>
      </c>
      <c r="M6" s="254">
        <f>'Calcoli componente'!$AH$8</f>
        <v>0</v>
      </c>
      <c r="N6" s="254">
        <f>-'Calcoli componente'!$AN$8</f>
        <v>0</v>
      </c>
      <c r="O6" s="255">
        <f>'Calcoli componente'!$AM$8</f>
        <v>1</v>
      </c>
      <c r="P6" s="253" t="str">
        <f>-'Calcoli componente'!$AI$9</f>
        <v>#DIV/0!</v>
      </c>
      <c r="Q6" s="254" t="str">
        <f>'Calcoli componente'!$AH$9</f>
        <v>#DIV/0!</v>
      </c>
      <c r="R6" s="254" t="str">
        <f>-'Calcoli componente'!$AN$9</f>
        <v>#DIV/0!</v>
      </c>
      <c r="S6" s="255" t="str">
        <f>'Calcoli componente'!$AM$9</f>
        <v>#DIV/0!</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v>
      </c>
      <c r="C7" s="346">
        <f>'Calcoli componente'!C7</f>
        <v>1</v>
      </c>
      <c r="D7" s="347" t="str">
        <f>'Calcoli componente'!E7</f>
        <v/>
      </c>
      <c r="E7" s="348">
        <f>'Calcoli componente'!G7</f>
        <v>0.9</v>
      </c>
      <c r="F7" s="349">
        <f>'Calcoli componente'!J7</f>
        <v>0</v>
      </c>
      <c r="G7" s="350">
        <f>'Calcoli componente'!K7</f>
        <v>0.01111111111</v>
      </c>
      <c r="H7" s="282"/>
      <c r="I7" s="328" t="s">
        <v>365</v>
      </c>
      <c r="J7" s="351">
        <f>0</f>
        <v>0</v>
      </c>
      <c r="K7" s="352">
        <f>K6-(K$6-K$18)*0.25/$G$19</f>
        <v>7.888057581</v>
      </c>
      <c r="L7" s="309" t="str">
        <f t="shared" si="1"/>
        <v>#NAME?</v>
      </c>
      <c r="M7" s="309">
        <f>M6</f>
        <v>1389.18</v>
      </c>
      <c r="N7" s="309">
        <v>0.0</v>
      </c>
      <c r="O7" s="309" t="str">
        <f>IF(AND(N7&gt;0,N7=MAX(N$7:N$17)),1,0)</f>
        <v>#DIV/0!</v>
      </c>
      <c r="P7" s="309">
        <f>M7</f>
        <v>1389.18</v>
      </c>
      <c r="Q7" s="250" t="str">
        <f>0.0000000002*(P7-P8)/($J8-$J7)</f>
        <v>#DIV/0!</v>
      </c>
      <c r="R7" s="352">
        <f>R6-(R$6-R$18)*0.25/$G$19</f>
        <v>9.61833507</v>
      </c>
      <c r="S7" s="309" t="str">
        <f t="shared" si="2"/>
        <v>#NAME?</v>
      </c>
      <c r="T7" s="309">
        <f>T6</f>
        <v>1354.44</v>
      </c>
      <c r="U7" s="309">
        <v>0.0</v>
      </c>
      <c r="V7" s="309" t="str">
        <f>IF(AND(U7&gt;0,U7=MAX(U$7:U$17)),1,0)</f>
        <v>#DIV/0!</v>
      </c>
      <c r="W7" s="309">
        <f>T7</f>
        <v>1354.44</v>
      </c>
      <c r="X7" s="250" t="str">
        <f>0.0000000002*(W7-W8)/($J8-$J7)</f>
        <v>#DIV/0!</v>
      </c>
      <c r="Y7" s="352">
        <f>Y6-(Y$6-Y$18)*0.25/$G$19</f>
        <v>12.7081163</v>
      </c>
      <c r="Z7" s="309" t="str">
        <f t="shared" si="3"/>
        <v>#NAME?</v>
      </c>
      <c r="AA7" s="309">
        <f>AA6</f>
        <v>1108.69</v>
      </c>
      <c r="AB7" s="309">
        <v>0.0</v>
      </c>
      <c r="AC7" s="309" t="str">
        <f>IF(AND(AB7&gt;0,AB7=MAX(AB$7:AB$17)),1,0)</f>
        <v>#DIV/0!</v>
      </c>
      <c r="AD7" s="309">
        <f>AA7</f>
        <v>1108.69</v>
      </c>
      <c r="AE7" s="250" t="str">
        <f>0.0000000002*(AD7-AD8)/($J8-$J7)</f>
        <v>#DIV/0!</v>
      </c>
      <c r="AF7" s="352">
        <f>AF6-(AF$6-AF$18)*0.25/$G$19</f>
        <v>15.48891941</v>
      </c>
      <c r="AG7" s="309" t="str">
        <f t="shared" si="4"/>
        <v>#NAME?</v>
      </c>
      <c r="AH7" s="309">
        <f>AH6</f>
        <v>1129.215</v>
      </c>
      <c r="AI7" s="309">
        <v>0.0</v>
      </c>
      <c r="AJ7" s="309" t="str">
        <f>IF(AND(AI7&gt;0,AI7=MAX(AI$7:AI$17)),1,0)</f>
        <v>#DIV/0!</v>
      </c>
      <c r="AK7" s="309">
        <f>AH7</f>
        <v>1129.215</v>
      </c>
      <c r="AL7" s="250" t="str">
        <f>0.0000000002*(AK7-AK8)/($J8-$J7)</f>
        <v>#DIV/0!</v>
      </c>
      <c r="AM7" s="352">
        <f>AM6-(AM$6-AM$18)*0.25/$G$19</f>
        <v>17.96074439</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19.2584525</v>
      </c>
      <c r="BP7" s="309" t="str">
        <f t="shared" si="9"/>
        <v>#NAME?</v>
      </c>
      <c r="BQ7" s="309">
        <f>BQ6</f>
        <v>1557.46</v>
      </c>
      <c r="BR7" s="309">
        <v>0.0</v>
      </c>
      <c r="BS7" s="309" t="str">
        <f>IF(AND(BR7&gt;0,BR7=MAX(BR$7:BR$17)),1,0)</f>
        <v>#DIV/0!</v>
      </c>
      <c r="BT7" s="309">
        <f>BQ7</f>
        <v>1557.46</v>
      </c>
      <c r="BU7" s="250" t="str">
        <f>0.0000000002*(BT7-BT8)/($J8-$J7)</f>
        <v>#DIV/0!</v>
      </c>
      <c r="BV7" s="352">
        <f>BV6-(BV$6-BV$18)*0.25/$G$19</f>
        <v>15.42712378</v>
      </c>
      <c r="BW7" s="309" t="str">
        <f t="shared" si="10"/>
        <v>#NAME?</v>
      </c>
      <c r="BX7" s="309">
        <f>BX6</f>
        <v>1509.67</v>
      </c>
      <c r="BY7" s="309">
        <v>0.0</v>
      </c>
      <c r="BZ7" s="309" t="str">
        <f>IF(AND(BY7&gt;0,BY7=MAX(BY$7:BY$17)),1,0)</f>
        <v>#DIV/0!</v>
      </c>
      <c r="CA7" s="309">
        <f>BX7</f>
        <v>1509.67</v>
      </c>
      <c r="CB7" s="250" t="str">
        <f>0.0000000002*(CA7-CA8)/($J8-$J7)</f>
        <v>#DIV/0!</v>
      </c>
      <c r="CC7" s="352">
        <f>CC6-(CC$6-CC$18)*0.25/$G$19</f>
        <v>11.84297755</v>
      </c>
      <c r="CD7" s="309" t="str">
        <f t="shared" si="11"/>
        <v>#NAME?</v>
      </c>
      <c r="CE7" s="309">
        <f>CE6</f>
        <v>1429.06</v>
      </c>
      <c r="CF7" s="309">
        <v>0.0</v>
      </c>
      <c r="CG7" s="309" t="str">
        <f>IF(AND(CF7&gt;0,CF7=MAX(CF$7:CF$17)),1,0)</f>
        <v>#DIV/0!</v>
      </c>
      <c r="CH7" s="309">
        <f>CE7</f>
        <v>1429.06</v>
      </c>
      <c r="CI7" s="250" t="str">
        <f>0.0000000002*(CH7-CH8)/($J8-$J7)</f>
        <v>#DIV/0!</v>
      </c>
      <c r="CJ7" s="352">
        <f>CJ6-(CJ$6-CJ$18)*0.25/$G$19</f>
        <v>8.876787575</v>
      </c>
      <c r="CK7" s="309" t="str">
        <f t="shared" si="12"/>
        <v>#NAME?</v>
      </c>
      <c r="CL7" s="309">
        <f>CL6</f>
        <v>1407.9</v>
      </c>
      <c r="CM7" s="309">
        <v>0.0</v>
      </c>
      <c r="CN7" s="309" t="str">
        <f>IF(AND(CM7&gt;0,CM7=MAX(CM$7:CM$17)),1,0)</f>
        <v>#DIV/0!</v>
      </c>
      <c r="CO7" s="309">
        <f>CL7</f>
        <v>1407.9</v>
      </c>
      <c r="CP7" s="250" t="str">
        <f>0.0000000002*(CO7-CO8)/($J8-$J7)</f>
        <v>#DIV/0!</v>
      </c>
    </row>
    <row r="8" ht="12.75" customHeight="1">
      <c r="A8" s="331" t="str">
        <f>ROMAN(2)</f>
        <v>II</v>
      </c>
      <c r="B8" s="353" t="str">
        <f>IF('Caratteristiche componente'!C8&lt;&gt;"",'Caratteristiche componente'!C8,"")</f>
        <v/>
      </c>
      <c r="C8" s="354" t="str">
        <f>'Calcoli componente'!C8</f>
        <v/>
      </c>
      <c r="D8" s="308" t="str">
        <f>'Calcoli componente'!E8</f>
        <v/>
      </c>
      <c r="E8" s="355" t="str">
        <f>'Calcoli componente'!G8</f>
        <v/>
      </c>
      <c r="F8" s="356">
        <f>'Calcoli componente'!J8</f>
        <v>0</v>
      </c>
      <c r="G8" s="357">
        <f>'Calcoli componente'!K8</f>
        <v>0</v>
      </c>
      <c r="H8" s="282"/>
      <c r="I8" s="328" t="s">
        <v>366</v>
      </c>
      <c r="J8" s="351">
        <f t="shared" ref="J8:J17" si="13">J7+F7</f>
        <v>0</v>
      </c>
      <c r="K8" s="352">
        <f t="shared" ref="K8:K17" si="14">K7-(K$6-K$18)*$G7/$G$19</f>
        <v>7.349749029</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9.156927739</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12.38403258</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15.28842693</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17.87011081</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19.22549484</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15.22388484</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11.48044322</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8.382422578</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75" customHeight="1">
      <c r="A9" s="331" t="str">
        <f>ROMAN(3)</f>
        <v>III</v>
      </c>
      <c r="B9" s="358" t="str">
        <f>IF('Caratteristiche componente'!C9&lt;&gt;"",'Caratteristiche componente'!C9,"")</f>
        <v>cls</v>
      </c>
      <c r="C9" s="354">
        <f>'Calcoli componente'!C9</f>
        <v>12</v>
      </c>
      <c r="D9" s="308" t="str">
        <f>'Calcoli componente'!E9</f>
        <v/>
      </c>
      <c r="E9" s="355">
        <f>'Calcoli componente'!G9</f>
        <v>1.16</v>
      </c>
      <c r="F9" s="356">
        <f>'Calcoli componente'!J9</f>
        <v>0</v>
      </c>
      <c r="G9" s="357">
        <f>'Calcoli componente'!K9</f>
        <v>0.1034482759</v>
      </c>
      <c r="H9" s="282"/>
      <c r="I9" s="328" t="s">
        <v>367</v>
      </c>
      <c r="J9" s="351">
        <f t="shared" si="13"/>
        <v>0</v>
      </c>
      <c r="K9" s="352">
        <f t="shared" si="14"/>
        <v>7.349749029</v>
      </c>
      <c r="L9" s="309" t="str">
        <f t="shared" si="1"/>
        <v>#NAME?</v>
      </c>
      <c r="M9" s="309" t="str">
        <f t="shared" si="15"/>
        <v>#DIV/0!</v>
      </c>
      <c r="N9" s="309" t="str">
        <f t="shared" si="16"/>
        <v>#DIV/0!</v>
      </c>
      <c r="O9" s="309" t="str">
        <f>IF(AND(N9&gt;0,N9=MAX(N$7:N$17)),3,0)</f>
        <v>#DIV/0!</v>
      </c>
      <c r="P9" s="309">
        <f t="shared" si="17"/>
        <v>1389.18</v>
      </c>
      <c r="Q9" s="250" t="str">
        <f t="shared" si="18"/>
        <v>#DIV/0!</v>
      </c>
      <c r="R9" s="352">
        <f t="shared" si="19"/>
        <v>9.156927739</v>
      </c>
      <c r="S9" s="309" t="str">
        <f t="shared" si="2"/>
        <v>#NAME?</v>
      </c>
      <c r="T9" s="309" t="str">
        <f t="shared" si="20"/>
        <v>#DIV/0!</v>
      </c>
      <c r="U9" s="309" t="str">
        <f t="shared" si="21"/>
        <v>#DIV/0!</v>
      </c>
      <c r="V9" s="309" t="str">
        <f>IF(AND(U9&gt;0,U9=MAX(U$7:U$17)),3,0)</f>
        <v>#DIV/0!</v>
      </c>
      <c r="W9" s="309">
        <f t="shared" si="22"/>
        <v>1354.44</v>
      </c>
      <c r="X9" s="250" t="str">
        <f t="shared" si="23"/>
        <v>#DIV/0!</v>
      </c>
      <c r="Y9" s="352">
        <f t="shared" si="24"/>
        <v>12.38403258</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15.28842693</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17.87011081</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19.22549484</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15.22388484</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11.48044322</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8.382422578</v>
      </c>
      <c r="CK9" s="309" t="str">
        <f t="shared" si="12"/>
        <v>#NAME?</v>
      </c>
      <c r="CL9" s="309" t="str">
        <f t="shared" si="70"/>
        <v>#DIV/0!</v>
      </c>
      <c r="CM9" s="309" t="str">
        <f t="shared" si="71"/>
        <v>#DIV/0!</v>
      </c>
      <c r="CN9" s="309" t="str">
        <f>IF(AND(CM9&gt;0,CM9=MAX(CM$7:CM$17)),3,0)</f>
        <v>#DIV/0!</v>
      </c>
      <c r="CO9" s="309">
        <f t="shared" si="72"/>
        <v>1407.9</v>
      </c>
      <c r="CP9" s="250" t="str">
        <f t="shared" si="73"/>
        <v>#DIV/0!</v>
      </c>
    </row>
    <row r="10" ht="12.75" customHeight="1">
      <c r="A10" s="331" t="str">
        <f>ROMAN(4)</f>
        <v>IV</v>
      </c>
      <c r="B10" s="353"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0</v>
      </c>
      <c r="K10" s="352">
        <f t="shared" si="14"/>
        <v>2.337910787</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4.861066389</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9.366701392</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13.4217729</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17.0262809</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18.9186476</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13.3316602</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8.105123591</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3.779713988</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75" customHeight="1">
      <c r="A11" s="331" t="str">
        <f>ROMAN(5)</f>
        <v>V</v>
      </c>
      <c r="B11" s="353"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0</v>
      </c>
      <c r="K11" s="352">
        <f t="shared" si="14"/>
        <v>2.337910787</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4.861066389</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9.366701392</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13.4217729</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17.0262809</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18.9186476</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13.3316602</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8.105123591</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3.779713988</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75" customHeight="1">
      <c r="A12" s="331" t="str">
        <f>ROMAN(6)</f>
        <v>VI</v>
      </c>
      <c r="B12" s="353"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0</v>
      </c>
      <c r="K12" s="352">
        <f t="shared" si="14"/>
        <v>2.337910787</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4.861066389</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9.366701392</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13.4217729</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17.0262809</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18.9186476</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13.3316602</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8.105123591</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3.779713988</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75" customHeight="1">
      <c r="A13" s="331" t="str">
        <f>ROMAN(7)</f>
        <v>VII</v>
      </c>
      <c r="B13" s="353"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0</v>
      </c>
      <c r="K13" s="352">
        <f t="shared" si="14"/>
        <v>2.337910787</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4.861066389</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9.366701392</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13.4217729</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17.0262809</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18.9186476</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13.3316602</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8.105123591</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3.779713988</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75" customHeight="1">
      <c r="A14" s="331" t="str">
        <f>ROMAN(8)</f>
        <v>VIII</v>
      </c>
      <c r="B14" s="353"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0</v>
      </c>
      <c r="K14" s="352">
        <f t="shared" si="14"/>
        <v>2.337910787</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4.861066389</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9.366701392</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13.4217729</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17.0262809</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18.9186476</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13.3316602</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8.105123591</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3.779713988</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75" customHeight="1">
      <c r="A15" s="331" t="str">
        <f>ROMAN(9)</f>
        <v>IX</v>
      </c>
      <c r="B15" s="353"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0</v>
      </c>
      <c r="K15" s="352">
        <f t="shared" si="14"/>
        <v>2.337910787</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4.861066389</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9.366701392</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13.4217729</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17.0262809</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18.9186476</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13.3316602</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8.105123591</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3.779713988</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0</v>
      </c>
      <c r="K16" s="352">
        <f t="shared" si="14"/>
        <v>2.337910787</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4.861066389</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9.366701392</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13.4217729</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17.0262809</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18.9186476</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13.3316602</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8.105123591</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3.779713988</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3.5" customHeight="1">
      <c r="A17" s="362" t="s">
        <v>109</v>
      </c>
      <c r="B17" s="363"/>
      <c r="C17" s="364">
        <f>SUM(C$7:C$16)</f>
        <v>13</v>
      </c>
      <c r="D17" s="363"/>
      <c r="E17" s="365"/>
      <c r="F17" s="366">
        <f t="shared" ref="F17:G17" si="74">SUM(F$7:F$16)</f>
        <v>0</v>
      </c>
      <c r="G17" s="367">
        <f t="shared" si="74"/>
        <v>0.114559387</v>
      </c>
      <c r="H17" s="282"/>
      <c r="I17" s="328" t="s">
        <v>375</v>
      </c>
      <c r="J17" s="351">
        <f t="shared" si="13"/>
        <v>0</v>
      </c>
      <c r="K17" s="352">
        <f t="shared" si="14"/>
        <v>2.337910787</v>
      </c>
      <c r="L17" s="309" t="str">
        <f t="shared" si="1"/>
        <v>#NAME?</v>
      </c>
      <c r="M17" s="309">
        <f>M18</f>
        <v>516</v>
      </c>
      <c r="N17" s="309" t="str">
        <f t="shared" si="16"/>
        <v>#NAME?</v>
      </c>
      <c r="O17" s="309" t="str">
        <f>IF(AND(N17&gt;0,N17=MAX(N$7:N$17)),11,0)</f>
        <v>#NAME?</v>
      </c>
      <c r="P17" s="309">
        <f>M17</f>
        <v>516</v>
      </c>
      <c r="Q17" s="368"/>
      <c r="R17" s="352">
        <f t="shared" si="19"/>
        <v>4.861066389</v>
      </c>
      <c r="S17" s="309" t="str">
        <f t="shared" si="2"/>
        <v>#NAME?</v>
      </c>
      <c r="T17" s="309">
        <f>T18</f>
        <v>606</v>
      </c>
      <c r="U17" s="309" t="str">
        <f t="shared" si="21"/>
        <v>#NAME?</v>
      </c>
      <c r="V17" s="309" t="str">
        <f>IF(AND(U17&gt;0,U17=MAX(U$7:U$17)),11,0)</f>
        <v>#NAME?</v>
      </c>
      <c r="W17" s="309">
        <f>T17</f>
        <v>606</v>
      </c>
      <c r="X17" s="368"/>
      <c r="Y17" s="352">
        <f t="shared" si="24"/>
        <v>9.366701392</v>
      </c>
      <c r="Z17" s="309" t="str">
        <f t="shared" si="3"/>
        <v>#NAME?</v>
      </c>
      <c r="AA17" s="309">
        <f>AA18</f>
        <v>583</v>
      </c>
      <c r="AB17" s="309" t="str">
        <f t="shared" si="26"/>
        <v>#NAME?</v>
      </c>
      <c r="AC17" s="309" t="str">
        <f>IF(AND(AB17&gt;0,AB17=MAX(AB$7:AB$17)),11,0)</f>
        <v>#NAME?</v>
      </c>
      <c r="AD17" s="309">
        <f>AA17</f>
        <v>583</v>
      </c>
      <c r="AE17" s="368"/>
      <c r="AF17" s="352">
        <f t="shared" si="29"/>
        <v>13.4217729</v>
      </c>
      <c r="AG17" s="309" t="str">
        <f t="shared" si="4"/>
        <v>#NAME?</v>
      </c>
      <c r="AH17" s="309">
        <f>AH18</f>
        <v>804</v>
      </c>
      <c r="AI17" s="309" t="str">
        <f t="shared" si="31"/>
        <v>#NAME?</v>
      </c>
      <c r="AJ17" s="309" t="str">
        <f>IF(AND(AI17&gt;0,AI17=MAX(AI$7:AI$17)),11,0)</f>
        <v>#NAME?</v>
      </c>
      <c r="AK17" s="309">
        <f>AH17</f>
        <v>804</v>
      </c>
      <c r="AL17" s="368"/>
      <c r="AM17" s="352">
        <f t="shared" si="34"/>
        <v>17.0262809</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18.9186476</v>
      </c>
      <c r="BP17" s="309" t="str">
        <f t="shared" si="9"/>
        <v>#NAME?</v>
      </c>
      <c r="BQ17" s="309">
        <f>BQ18</f>
        <v>1504</v>
      </c>
      <c r="BR17" s="309" t="str">
        <f t="shared" si="56"/>
        <v>#NAME?</v>
      </c>
      <c r="BS17" s="309" t="str">
        <f>IF(AND(BR17&gt;0,BR17=MAX(BR$7:BR$17)),11,0)</f>
        <v>#NAME?</v>
      </c>
      <c r="BT17" s="309">
        <f>BQ17</f>
        <v>1504</v>
      </c>
      <c r="BU17" s="368"/>
      <c r="BV17" s="352">
        <f t="shared" si="59"/>
        <v>13.3316602</v>
      </c>
      <c r="BW17" s="309" t="str">
        <f t="shared" si="10"/>
        <v>#NAME?</v>
      </c>
      <c r="BX17" s="309">
        <f>BX18</f>
        <v>1180</v>
      </c>
      <c r="BY17" s="309" t="str">
        <f t="shared" si="61"/>
        <v>#NAME?</v>
      </c>
      <c r="BZ17" s="309" t="str">
        <f>IF(AND(BY17&gt;0,BY17=MAX(BY$7:BY$17)),11,0)</f>
        <v>#NAME?</v>
      </c>
      <c r="CA17" s="309">
        <f>BX17</f>
        <v>1180</v>
      </c>
      <c r="CB17" s="368"/>
      <c r="CC17" s="352">
        <f t="shared" si="64"/>
        <v>8.105123591</v>
      </c>
      <c r="CD17" s="309" t="str">
        <f t="shared" si="11"/>
        <v>#NAME?</v>
      </c>
      <c r="CE17" s="309">
        <f>CE18</f>
        <v>841</v>
      </c>
      <c r="CF17" s="309" t="str">
        <f t="shared" si="66"/>
        <v>#NAME?</v>
      </c>
      <c r="CG17" s="309" t="str">
        <f>IF(AND(CF17&gt;0,CF17=MAX(CF$7:CF$17)),11,0)</f>
        <v>#NAME?</v>
      </c>
      <c r="CH17" s="309">
        <f>CE17</f>
        <v>841</v>
      </c>
      <c r="CI17" s="368"/>
      <c r="CJ17" s="352">
        <f t="shared" si="69"/>
        <v>3.779713988</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0.404559387</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0.3820437541</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654</v>
      </c>
      <c r="F4" s="428">
        <f>'Calcoli componente'!L26</f>
        <v>2.669803601</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1</v>
      </c>
      <c r="C6" s="426">
        <f>C5+'Caratteristiche componente'!$D8</f>
        <v>1</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13</v>
      </c>
      <c r="C7" s="426">
        <f>C6+'Caratteristiche componente'!$D9</f>
        <v>13</v>
      </c>
      <c r="D7" s="395"/>
      <c r="E7" s="395" t="s">
        <v>655</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13</v>
      </c>
      <c r="C8" s="426">
        <f>C7+'Caratteristiche componente'!$D10</f>
        <v>13</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13</v>
      </c>
      <c r="C9" s="426">
        <f>C8+'Caratteristiche componente'!$D11</f>
        <v>13</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13</v>
      </c>
      <c r="C10" s="426">
        <f>C9+'Caratteristiche componente'!$D12</f>
        <v>13</v>
      </c>
      <c r="D10" s="395"/>
      <c r="E10" s="395" t="s">
        <v>656</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13</v>
      </c>
      <c r="C11" s="426">
        <f>C10+'Caratteristiche componente'!$D13</f>
        <v>13</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13</v>
      </c>
      <c r="C12" s="426">
        <f>C11+'Caratteristiche componente'!$D14</f>
        <v>13</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13</v>
      </c>
      <c r="C13" s="426">
        <f>C12+'Caratteristiche componente'!$D15</f>
        <v>13</v>
      </c>
      <c r="D13" s="395"/>
      <c r="E13" s="395" t="s">
        <v>657</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13</v>
      </c>
      <c r="C14" s="426">
        <f>C13+'Caratteristiche componente'!$D16</f>
        <v>13</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
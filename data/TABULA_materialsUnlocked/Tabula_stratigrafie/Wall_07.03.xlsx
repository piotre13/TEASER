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name="imese">#REF!</definedName>
    <definedName name="tsat">#REF!</definedName>
    <definedName name="pvs_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<sst xmlns="http://schemas.openxmlformats.org/spreadsheetml/2006/main" count="1625" uniqueCount="660">
  <si>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</si>
  <si>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</si>
  <si>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</si>
  <si>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</si>
  <si>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</si>
  <si>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</si>
  <si>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</si>
  <si>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</si>
  <si>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</si>
  <si>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</si>
  <si>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</si>
  <si>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</si>
  <si>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</si>
  <si>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</si>
  <si>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</si>
  <si>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</si>
  <si>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</si>
  <si>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</si>
  <si>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</si>
  <si>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</si>
  <si>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</si>
  <si>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</si>
  <si>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</si>
  <si>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</si>
  <si>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</si>
  <si>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</si>
  <si>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</si>
  <si>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</si>
  <si>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</si>
  <si>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</si>
  <si>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</si>
  <si>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</si>
  <si>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</si>
  <si>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</si>
  <si>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</si>
  <si>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</si>
  <si>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</si>
  <si>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</si>
  <si>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</si>
  <si>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</si>
  <si>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</si>
  <si>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</si>
  <si>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forato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</si>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</sst>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797336540"/>
        <c:axId val="1777768246"/>
      </c:scatterChart>
      <c:valAx>
        <c:axId val="179733654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7768246"/>
      </c:valAx>
      <c:valAx>
        <c:axId val="177776824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7336540"/>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29443127"/>
        <c:axId val="871377500"/>
      </c:scatterChart>
      <c:valAx>
        <c:axId val="12944312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1377500"/>
      </c:valAx>
      <c:valAx>
        <c:axId val="87137750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44312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959924778"/>
        <c:axId val="674085565"/>
      </c:scatterChart>
      <c:valAx>
        <c:axId val="195992477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4085565"/>
      </c:valAx>
      <c:valAx>
        <c:axId val="67408556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992477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67205140"/>
        <c:axId val="769588928"/>
      </c:scatterChart>
      <c:valAx>
        <c:axId val="76720514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9588928"/>
      </c:valAx>
      <c:valAx>
        <c:axId val="769588928"/>
        <c:scaling>
          <c:orientation val="minMax"/>
        </c:scaling>
        <c:delete val="0"/>
        <c:axPos val="l"/>
        <c:tickLblPos val="nextTo"/>
        <c:spPr>
          <a:ln>
            <a:noFill/>
          </a:ln>
        </c:spPr>
        <c:crossAx val="76720514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02279843"/>
        <c:axId val="1630606451"/>
      </c:scatterChart>
      <c:valAx>
        <c:axId val="70227984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0606451"/>
      </c:valAx>
      <c:valAx>
        <c:axId val="1630606451"/>
        <c:scaling>
          <c:orientation val="minMax"/>
        </c:scaling>
        <c:delete val="0"/>
        <c:axPos val="l"/>
        <c:tickLblPos val="nextTo"/>
        <c:spPr>
          <a:ln>
            <a:noFill/>
          </a:ln>
        </c:spPr>
        <c:crossAx val="702279843"/>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738331430"/>
        <c:axId val="221771665"/>
      </c:scatterChart>
      <c:valAx>
        <c:axId val="7383314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1771665"/>
      </c:valAx>
      <c:valAx>
        <c:axId val="22177166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8331430"/>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1.0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34.0</v>
      </c>
      <c r="E8" s="74">
        <v>1800.0</v>
      </c>
      <c r="F8" s="75">
        <v>5.3</v>
      </c>
      <c r="G8" s="76">
        <v>840.0</v>
      </c>
      <c r="H8" s="77">
        <v>0.72</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4.0</v>
      </c>
      <c r="E9" s="74"/>
      <c r="F9" s="75"/>
      <c r="G9" s="76"/>
      <c r="H9" s="77">
        <v>0.039</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1.0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1.693260073</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0.5905767317</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40</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644</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1</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14</v>
      </c>
      <c r="J7" s="146">
        <f>IF($C7&gt;0,IF(OR('Caratteristiche componente'!$C7="intercapedine",'Caratteristiche componente'!$C7="aria",'Caratteristiche componente'!$C7="intercapedine d'aria"),0.01,$C7/100*$E7),0)</f>
        <v>0.111</v>
      </c>
      <c r="K7" s="147">
        <f t="shared" ref="K7:K16" si="3">IF($C7&gt;0,IF(OR($B7="*intercapedine",$B7="*aria"),0.158,$C7/100/$G7),0)</f>
        <v>0.01428571429</v>
      </c>
      <c r="L7" s="147">
        <f t="shared" ref="L7:L17" si="4">IF($C7&gt;0,1/$K7,"")</f>
        <v>70</v>
      </c>
      <c r="M7" s="148">
        <f t="shared" ref="M7:M16" si="5">IF($C7&gt;0,$I7*$F7,0)</f>
        <v>11760</v>
      </c>
      <c r="N7" s="18"/>
      <c r="O7" s="149">
        <f>$M7*($K$22+$K$16+$K$15+$K$14+$K$13+$K$12+$K$11+$K$10+$K$9+$K$8+$K7/2)</f>
        <v>18299.93846</v>
      </c>
      <c r="P7" s="148">
        <f>$M7*($K$21+$K7/2)</f>
        <v>1612.8</v>
      </c>
      <c r="Q7" s="18"/>
      <c r="R7" s="150">
        <f t="shared" ref="R7:R16" si="6">IF($C7&gt;0,SQRT($H7*($R$26*3600)/PI()),0)</f>
        <v>0.1279461712</v>
      </c>
      <c r="S7" s="151">
        <f t="shared" ref="S7:S16" si="7">IF($C7&gt;0,($C7/100)/R7,0)</f>
        <v>0.07815786833</v>
      </c>
      <c r="T7" s="151">
        <f t="shared" ref="T7:T16" si="8">COSH($S7)*COS($S7)</f>
        <v>0.9999937807</v>
      </c>
      <c r="U7" s="151">
        <f t="shared" ref="U7:U16" si="9">SINH($S7)*SIN($S7)</f>
        <v>0.006108649849</v>
      </c>
      <c r="V7" s="151">
        <f t="shared" ref="V7:V16" si="10">SINH($S7)*COS($S7)</f>
        <v>0.07799862473</v>
      </c>
      <c r="W7" s="152">
        <f t="shared" ref="W7:W16" si="11">COSH($S7)*SIN($S7)</f>
        <v>0.0783169175</v>
      </c>
      <c r="X7" s="150">
        <f t="shared" ref="X7:X16" si="12">$T7</f>
        <v>0.9999937807</v>
      </c>
      <c r="Y7" s="151">
        <f t="shared" ref="Y7:Y16" si="13">$U7</f>
        <v>0.006108649849</v>
      </c>
      <c r="Z7" s="151">
        <f t="shared" ref="Z7:Z16" si="14">SQRT(X7^2+Y7^2)</f>
        <v>1.000012438</v>
      </c>
      <c r="AA7" s="153">
        <f t="shared" ref="AA7:AA16" si="15">DEGREES(IF(Y7&lt;&gt;0,ATAN2(X7,Y7),0))</f>
        <v>0.3499976782</v>
      </c>
      <c r="AB7" s="154">
        <f t="shared" ref="AB7:AB16" si="16">AA7*$R$26/360</f>
        <v>0.02333317854</v>
      </c>
      <c r="AC7" s="150">
        <f t="shared" ref="AC7:AC16" si="17">IF($C7&gt;0,-($R7/2/$G7)*($V7+$W7),0)</f>
        <v>-0.01428569652</v>
      </c>
      <c r="AD7" s="151">
        <f t="shared" ref="AD7:AD16" si="18">IF($C7&gt;0,-($R7/2/$G7)*($W7-$V7),0)</f>
        <v>-0.0000290888157</v>
      </c>
      <c r="AE7" s="151">
        <f t="shared" ref="AE7:AE16" si="19">SQRT(AC7^2+AD7^2)</f>
        <v>0.01428572613</v>
      </c>
      <c r="AF7" s="153">
        <f t="shared" ref="AF7:AF16" si="20">DEGREES(IF(AD7&lt;&gt;0,ATAN2(AC7,AD7),0))</f>
        <v>-179.8833334</v>
      </c>
      <c r="AG7" s="154">
        <f t="shared" ref="AG7:AG16" si="21">AF7*$R$26/360</f>
        <v>-11.99222222</v>
      </c>
      <c r="AH7" s="150">
        <f t="shared" ref="AH7:AH16" si="22">IF($C7&gt;0,-($G7/$R7)*($V7-$W7),0)</f>
        <v>0.00174139594</v>
      </c>
      <c r="AI7" s="151">
        <f t="shared" ref="AI7:AI16" si="23">IF($C7&gt;0,-($G7/$R7)*($V7+$W7),0)</f>
        <v>-0.8552102697</v>
      </c>
      <c r="AJ7" s="151">
        <f t="shared" ref="AJ7:AJ16" si="24">SQRT(AH7^2+AI7^2)</f>
        <v>0.8552120426</v>
      </c>
      <c r="AK7" s="153">
        <f t="shared" ref="AK7:AK16" si="25">DEGREES(IF(AI7&lt;&gt;0,ATAN2(AH7,AI7),0))</f>
        <v>-89.88333337</v>
      </c>
      <c r="AL7" s="154">
        <f t="shared" ref="AL7:AL16" si="26">AK7*$R$26/360</f>
        <v>-5.992222225</v>
      </c>
      <c r="AM7" s="155">
        <f t="shared" ref="AM7:AM16" si="27">$T7</f>
        <v>0.9999937807</v>
      </c>
      <c r="AN7" s="151">
        <f t="shared" ref="AN7:AN16" si="28">$U7</f>
        <v>0.006108649849</v>
      </c>
      <c r="AO7" s="151">
        <f t="shared" ref="AO7:AO16" si="29">Z7</f>
        <v>1.000012438</v>
      </c>
      <c r="AP7" s="153">
        <f t="shared" ref="AP7:AP16" si="30">DEGREES(IF(AN7&lt;&gt;0,ATAN2(AM7,AN7),0))</f>
        <v>0.3499976782</v>
      </c>
      <c r="AQ7" s="154">
        <f t="shared" ref="AQ7:AQ16" si="31">AP7*$R$26/360</f>
        <v>0.02333317854</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forato</v>
      </c>
      <c r="C8" s="156">
        <f>'Caratteristiche componente'!D8</f>
        <v>34</v>
      </c>
      <c r="D8" s="74">
        <f>IF('Caratteristiche componente'!E8&lt;&gt;"",'Caratteristiche componente'!E8,"")</f>
        <v>1800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0.72</v>
      </c>
      <c r="H8" s="157">
        <f t="shared" si="1"/>
        <v>0.0000004761904762</v>
      </c>
      <c r="I8" s="158">
        <f t="shared" si="2"/>
        <v>612</v>
      </c>
      <c r="J8" s="159">
        <f>IF($C8&gt;0,IF(OR('Caratteristiche componente'!$C8="intercapedine",'Caratteristiche componente'!$C8="aria",'Caratteristiche componente'!$C8="intercapedine d'aria"),0.01,$C8/100*$E8),0)</f>
        <v>1.802</v>
      </c>
      <c r="K8" s="160">
        <f t="shared" si="3"/>
        <v>0.4722222222</v>
      </c>
      <c r="L8" s="160">
        <f t="shared" si="4"/>
        <v>2.117647059</v>
      </c>
      <c r="M8" s="161">
        <f t="shared" si="5"/>
        <v>514080</v>
      </c>
      <c r="N8" s="18"/>
      <c r="O8" s="162">
        <f>$M8*($K$22+$K$16+$K$15+$K$14+$K$13+$K$12+$K$11+$K$10+$K$9+$K8/2)</f>
        <v>674916.7385</v>
      </c>
      <c r="P8" s="161">
        <f>$M8*($K$21+$K$7+$K8/2)</f>
        <v>195554.4</v>
      </c>
      <c r="Q8" s="18"/>
      <c r="R8" s="163">
        <f t="shared" si="6"/>
        <v>0.1144385345</v>
      </c>
      <c r="S8" s="164">
        <f t="shared" si="7"/>
        <v>2.971027212</v>
      </c>
      <c r="T8" s="164">
        <f t="shared" si="8"/>
        <v>-9.639660082</v>
      </c>
      <c r="U8" s="164">
        <f t="shared" si="9"/>
        <v>1.651625977</v>
      </c>
      <c r="V8" s="164">
        <f t="shared" si="10"/>
        <v>-9.589153145</v>
      </c>
      <c r="W8" s="165">
        <f t="shared" si="11"/>
        <v>1.66032524</v>
      </c>
      <c r="X8" s="163">
        <f t="shared" si="12"/>
        <v>-9.639660082</v>
      </c>
      <c r="Y8" s="164">
        <f t="shared" si="13"/>
        <v>1.651625977</v>
      </c>
      <c r="Z8" s="164">
        <f t="shared" si="14"/>
        <v>9.780128571</v>
      </c>
      <c r="AA8" s="166">
        <f t="shared" si="15"/>
        <v>170.2775442</v>
      </c>
      <c r="AB8" s="167">
        <f t="shared" si="16"/>
        <v>11.35183628</v>
      </c>
      <c r="AC8" s="163">
        <f t="shared" si="17"/>
        <v>0.6301135039</v>
      </c>
      <c r="AD8" s="164">
        <f t="shared" si="18"/>
        <v>-0.8940095973</v>
      </c>
      <c r="AE8" s="164">
        <f t="shared" si="19"/>
        <v>1.093753257</v>
      </c>
      <c r="AF8" s="166">
        <f t="shared" si="20"/>
        <v>-54.82315333</v>
      </c>
      <c r="AG8" s="167">
        <f t="shared" si="21"/>
        <v>-3.654876889</v>
      </c>
      <c r="AH8" s="163">
        <f t="shared" si="22"/>
        <v>70.77707237</v>
      </c>
      <c r="AI8" s="164">
        <f t="shared" si="23"/>
        <v>49.88491086</v>
      </c>
      <c r="AJ8" s="164">
        <f t="shared" si="24"/>
        <v>86.59040539</v>
      </c>
      <c r="AK8" s="166">
        <f t="shared" si="25"/>
        <v>35.17684667</v>
      </c>
      <c r="AL8" s="167">
        <f t="shared" si="26"/>
        <v>2.345123111</v>
      </c>
      <c r="AM8" s="168">
        <f t="shared" si="27"/>
        <v>-9.639660082</v>
      </c>
      <c r="AN8" s="164">
        <f t="shared" si="28"/>
        <v>1.651625977</v>
      </c>
      <c r="AO8" s="164">
        <f t="shared" si="29"/>
        <v>9.780128571</v>
      </c>
      <c r="AP8" s="166">
        <f t="shared" si="30"/>
        <v>170.2775442</v>
      </c>
      <c r="AQ8" s="167">
        <f t="shared" si="31"/>
        <v>11.35183628</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4</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0.039</v>
      </c>
      <c r="H9" s="157" t="str">
        <f t="shared" si="1"/>
        <v>#DIV/0!</v>
      </c>
      <c r="I9" s="158">
        <f t="shared" si="2"/>
        <v>0</v>
      </c>
      <c r="J9" s="159">
        <f>IF($C9&gt;0,IF(OR('Caratteristiche componente'!$C9="intercapedine",'Caratteristiche componente'!$C9="aria",'Caratteristiche componente'!$C9="intercapedine d'aria"),0.01,$C9/100*$E9),0)</f>
        <v>0</v>
      </c>
      <c r="K9" s="160">
        <f t="shared" si="3"/>
        <v>1.025641026</v>
      </c>
      <c r="L9" s="160">
        <f t="shared" si="4"/>
        <v>0.975</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1</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18</v>
      </c>
      <c r="J10" s="159">
        <f>IF($C10&gt;0,IF(OR('Caratteristiche componente'!$C10="intercapedine",'Caratteristiche componente'!$C10="aria",'Caratteristiche componente'!$C10="intercapedine d'aria"),0.01,$C10/100*$E10),0)</f>
        <v>0.235</v>
      </c>
      <c r="K10" s="160">
        <f t="shared" si="3"/>
        <v>0.01111111111</v>
      </c>
      <c r="L10" s="160">
        <f t="shared" si="4"/>
        <v>90</v>
      </c>
      <c r="M10" s="161">
        <f t="shared" si="5"/>
        <v>15120</v>
      </c>
      <c r="N10" s="18"/>
      <c r="O10" s="162">
        <f>$M10*($K$22+$K$16+$K$15+$K$14+$K$13+$K$12+$K$11+$K10/2)</f>
        <v>688.8</v>
      </c>
      <c r="P10" s="161">
        <f>$M10*($K$21+$K$7+$K$8+$K$9+$K10/2)</f>
        <v>24913.29231</v>
      </c>
      <c r="Q10" s="18"/>
      <c r="R10" s="163">
        <f t="shared" si="6"/>
        <v>0.1279461712</v>
      </c>
      <c r="S10" s="164">
        <f t="shared" si="7"/>
        <v>0.07815786833</v>
      </c>
      <c r="T10" s="164">
        <f t="shared" si="8"/>
        <v>0.9999937807</v>
      </c>
      <c r="U10" s="164">
        <f t="shared" si="9"/>
        <v>0.006108649849</v>
      </c>
      <c r="V10" s="164">
        <f t="shared" si="10"/>
        <v>0.07799862473</v>
      </c>
      <c r="W10" s="165">
        <f t="shared" si="11"/>
        <v>0.0783169175</v>
      </c>
      <c r="X10" s="163">
        <f t="shared" si="12"/>
        <v>0.9999937807</v>
      </c>
      <c r="Y10" s="164">
        <f t="shared" si="13"/>
        <v>0.006108649849</v>
      </c>
      <c r="Z10" s="164">
        <f t="shared" si="14"/>
        <v>1.000012438</v>
      </c>
      <c r="AA10" s="166">
        <f t="shared" si="15"/>
        <v>0.3499976782</v>
      </c>
      <c r="AB10" s="167">
        <f t="shared" si="16"/>
        <v>0.02333317854</v>
      </c>
      <c r="AC10" s="163">
        <f t="shared" si="17"/>
        <v>-0.01111109729</v>
      </c>
      <c r="AD10" s="164">
        <f t="shared" si="18"/>
        <v>-0.00002262463443</v>
      </c>
      <c r="AE10" s="164">
        <f t="shared" si="19"/>
        <v>0.01111112032</v>
      </c>
      <c r="AF10" s="166">
        <f t="shared" si="20"/>
        <v>-179.8833334</v>
      </c>
      <c r="AG10" s="167">
        <f t="shared" si="21"/>
        <v>-11.99222222</v>
      </c>
      <c r="AH10" s="163">
        <f t="shared" si="22"/>
        <v>0.002238937638</v>
      </c>
      <c r="AI10" s="164">
        <f t="shared" si="23"/>
        <v>-1.099556061</v>
      </c>
      <c r="AJ10" s="164">
        <f t="shared" si="24"/>
        <v>1.099558341</v>
      </c>
      <c r="AK10" s="166">
        <f t="shared" si="25"/>
        <v>-89.88333337</v>
      </c>
      <c r="AL10" s="167">
        <f t="shared" si="26"/>
        <v>-5.992222225</v>
      </c>
      <c r="AM10" s="168">
        <f t="shared" si="27"/>
        <v>0.9999937807</v>
      </c>
      <c r="AN10" s="164">
        <f t="shared" si="28"/>
        <v>0.006108649849</v>
      </c>
      <c r="AO10" s="164">
        <f t="shared" si="29"/>
        <v>1.000012438</v>
      </c>
      <c r="AP10" s="166">
        <f t="shared" si="30"/>
        <v>0.3499976782</v>
      </c>
      <c r="AQ10" s="167">
        <f t="shared" si="31"/>
        <v>0.02333317854</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40</v>
      </c>
      <c r="D17" s="188"/>
      <c r="E17" s="190"/>
      <c r="F17" s="190"/>
      <c r="G17" s="190"/>
      <c r="H17" s="191"/>
      <c r="I17" s="192">
        <f t="shared" ref="I17:K17" si="32">SUM(I$7:I$16)</f>
        <v>644</v>
      </c>
      <c r="J17" s="193">
        <f t="shared" si="32"/>
        <v>2.148</v>
      </c>
      <c r="K17" s="193">
        <f t="shared" si="32"/>
        <v>1.523260073</v>
      </c>
      <c r="L17" s="194">
        <f t="shared" si="4"/>
        <v>0.656486714</v>
      </c>
      <c r="M17" s="195">
        <f>SUM(M$7:M$16)</f>
        <v>540960</v>
      </c>
      <c r="N17" s="18"/>
      <c r="O17" s="196">
        <f t="shared" ref="O17:P17" si="33">SUM(O$7:O$16)</f>
        <v>693905.4769</v>
      </c>
      <c r="P17" s="197">
        <f t="shared" si="33"/>
        <v>222080.4923</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1.693260073</v>
      </c>
      <c r="L26" s="216">
        <f>1/$K$26</f>
        <v>0.5905767317</v>
      </c>
      <c r="M26" s="18"/>
      <c r="N26" s="217">
        <f>M17*K26/3600</f>
        <v>254.440547</v>
      </c>
      <c r="O26" s="218">
        <f>$O$17/3600</f>
        <v>192.7515214</v>
      </c>
      <c r="P26" s="219">
        <f>$P$17/3600</f>
        <v>61.68902564</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540.96</v>
      </c>
      <c r="O30" s="218">
        <f t="shared" ref="O30:P30" si="75">O$17/$K$26/1000</f>
        <v>409.8044287</v>
      </c>
      <c r="P30" s="219">
        <f t="shared" si="75"/>
        <v>131.1555713</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0.9999937807</v>
      </c>
      <c r="I3" s="249">
        <f>'Calcoli componente'!$Y$7</f>
        <v>0.006108649849</v>
      </c>
      <c r="J3" s="249">
        <f>'Calcoli componente'!$AC$7</f>
        <v>-0.01428569652</v>
      </c>
      <c r="K3" s="250">
        <f>'Calcoli componente'!$AD$7</f>
        <v>-0.0000290888157</v>
      </c>
      <c r="L3" s="248">
        <f>'Calcoli componente'!$X$8</f>
        <v>-9.639660082</v>
      </c>
      <c r="M3" s="249">
        <f>'Calcoli componente'!$Y$8</f>
        <v>1.651625977</v>
      </c>
      <c r="N3" s="249">
        <f>'Calcoli componente'!$AC$8</f>
        <v>0.6301135039</v>
      </c>
      <c r="O3" s="250">
        <f>'Calcoli componente'!$AD$8</f>
        <v>-0.8940095973</v>
      </c>
      <c r="P3" s="248" t="str">
        <f>'Calcoli componente'!$X$9</f>
        <v>#DIV/0!</v>
      </c>
      <c r="Q3" s="249" t="str">
        <f>'Calcoli componente'!$Y$9</f>
        <v>#DIV/0!</v>
      </c>
      <c r="R3" s="249" t="str">
        <f>'Calcoli componente'!$AC$9</f>
        <v>#DIV/0!</v>
      </c>
      <c r="S3" s="250" t="str">
        <f>'Calcoli componente'!$AD$9</f>
        <v>#DIV/0!</v>
      </c>
      <c r="T3" s="248">
        <f>'Calcoli componente'!$X$10</f>
        <v>0.9999937807</v>
      </c>
      <c r="U3" s="249">
        <f>'Calcoli componente'!$Y$10</f>
        <v>0.006108649849</v>
      </c>
      <c r="V3" s="249">
        <f>'Calcoli componente'!$AC$10</f>
        <v>-0.01111109729</v>
      </c>
      <c r="W3" s="250">
        <f>'Calcoli componente'!$AD$10</f>
        <v>-0.00002262463443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-0.006108649849</v>
      </c>
      <c r="I4" s="249">
        <f>'Calcoli componente'!$X$7</f>
        <v>0.9999937807</v>
      </c>
      <c r="J4" s="249">
        <f>-'Calcoli componente'!$AD$7</f>
        <v>0.0000290888157</v>
      </c>
      <c r="K4" s="250">
        <f>'Calcoli componente'!$AC$7</f>
        <v>-0.01428569652</v>
      </c>
      <c r="L4" s="248">
        <f>-'Calcoli componente'!$Y$8</f>
        <v>-1.651625977</v>
      </c>
      <c r="M4" s="249">
        <f>'Calcoli componente'!$X$8</f>
        <v>-9.639660082</v>
      </c>
      <c r="N4" s="249">
        <f>-'Calcoli componente'!$AD$8</f>
        <v>0.8940095973</v>
      </c>
      <c r="O4" s="250">
        <f>'Calcoli componente'!$AC$8</f>
        <v>0.6301135039</v>
      </c>
      <c r="P4" s="248" t="str">
        <f>-'Calcoli componente'!$Y$9</f>
        <v>#DIV/0!</v>
      </c>
      <c r="Q4" s="249" t="str">
        <f>'Calcoli componente'!$X$9</f>
        <v>#DIV/0!</v>
      </c>
      <c r="R4" s="249" t="str">
        <f>-'Calcoli componente'!$AD$9</f>
        <v>#DIV/0!</v>
      </c>
      <c r="S4" s="250" t="str">
        <f>'Calcoli componente'!$AC$9</f>
        <v>#DIV/0!</v>
      </c>
      <c r="T4" s="248">
        <f>-'Calcoli componente'!$Y$10</f>
        <v>-0.006108649849</v>
      </c>
      <c r="U4" s="249">
        <f>'Calcoli componente'!$X$10</f>
        <v>0.9999937807</v>
      </c>
      <c r="V4" s="249">
        <f>-'Calcoli componente'!$AD$10</f>
        <v>0.00002262463443</v>
      </c>
      <c r="W4" s="250">
        <f>'Calcoli componente'!$AC$10</f>
        <v>-0.01111109729</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0.00174139594</v>
      </c>
      <c r="I5" s="249">
        <f>'Calcoli componente'!$AI$7</f>
        <v>-0.8552102697</v>
      </c>
      <c r="J5" s="249">
        <f>'Calcoli componente'!$AM$7</f>
        <v>0.9999937807</v>
      </c>
      <c r="K5" s="250">
        <f>'Calcoli componente'!$AN$7</f>
        <v>0.006108649849</v>
      </c>
      <c r="L5" s="248">
        <f>'Calcoli componente'!$AH$8</f>
        <v>70.77707237</v>
      </c>
      <c r="M5" s="249">
        <f>'Calcoli componente'!$AI$8</f>
        <v>49.88491086</v>
      </c>
      <c r="N5" s="249">
        <f>'Calcoli componente'!$AM$8</f>
        <v>-9.639660082</v>
      </c>
      <c r="O5" s="250">
        <f>'Calcoli componente'!$AN$8</f>
        <v>1.651625977</v>
      </c>
      <c r="P5" s="248" t="str">
        <f>'Calcoli componente'!$AH$9</f>
        <v>#DIV/0!</v>
      </c>
      <c r="Q5" s="249" t="str">
        <f>'Calcoli componente'!$AI$9</f>
        <v>#DIV/0!</v>
      </c>
      <c r="R5" s="249" t="str">
        <f>'Calcoli componente'!$AM$9</f>
        <v>#DIV/0!</v>
      </c>
      <c r="S5" s="250" t="str">
        <f>'Calcoli componente'!$AN$9</f>
        <v>#DIV/0!</v>
      </c>
      <c r="T5" s="248">
        <f>'Calcoli componente'!$AH$10</f>
        <v>0.002238937638</v>
      </c>
      <c r="U5" s="249">
        <f>'Calcoli componente'!$AI$10</f>
        <v>-1.099556061</v>
      </c>
      <c r="V5" s="249">
        <f>'Calcoli componente'!$AM$10</f>
        <v>0.9999937807</v>
      </c>
      <c r="W5" s="250">
        <f>'Calcoli componente'!$AN$10</f>
        <v>0.006108649849</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0.8552102697</v>
      </c>
      <c r="I6" s="254">
        <f>'Calcoli componente'!$AH$7</f>
        <v>0.00174139594</v>
      </c>
      <c r="J6" s="254">
        <f>-'Calcoli componente'!$AN$7</f>
        <v>-0.006108649849</v>
      </c>
      <c r="K6" s="255">
        <f>'Calcoli componente'!$AM$7</f>
        <v>0.9999937807</v>
      </c>
      <c r="L6" s="253">
        <f>-'Calcoli componente'!$AI$8</f>
        <v>-49.88491086</v>
      </c>
      <c r="M6" s="254">
        <f>'Calcoli componente'!$AH$8</f>
        <v>70.77707237</v>
      </c>
      <c r="N6" s="254">
        <f>-'Calcoli componente'!$AN$8</f>
        <v>-1.651625977</v>
      </c>
      <c r="O6" s="255">
        <f>'Calcoli componente'!$AM$8</f>
        <v>-9.639660082</v>
      </c>
      <c r="P6" s="253" t="str">
        <f>-'Calcoli componente'!$AI$9</f>
        <v>#DIV/0!</v>
      </c>
      <c r="Q6" s="254" t="str">
        <f>'Calcoli componente'!$AH$9</f>
        <v>#DIV/0!</v>
      </c>
      <c r="R6" s="254" t="str">
        <f>-'Calcoli componente'!$AN$9</f>
        <v>#DIV/0!</v>
      </c>
      <c r="S6" s="255" t="str">
        <f>'Calcoli componente'!$AM$9</f>
        <v>#DIV/0!</v>
      </c>
      <c r="T6" s="253">
        <f>-'Calcoli componente'!$AI$10</f>
        <v>1.099556061</v>
      </c>
      <c r="U6" s="254">
        <f>'Calcoli componente'!$AH$10</f>
        <v>0.002238937638</v>
      </c>
      <c r="V6" s="254">
        <f>-'Calcoli componente'!$AN$10</f>
        <v>-0.006108649849</v>
      </c>
      <c r="W6" s="255">
        <f>'Calcoli componente'!$AM$10</f>
        <v>0.9999937807</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-10.41315825</v>
      </c>
      <c r="K9" s="249">
        <v>1.0522940325590209</v>
      </c>
      <c r="L9" s="249">
        <v>0.7733280789138531</v>
      </c>
      <c r="M9" s="250">
        <v>-0.9134691156143906</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-1.052294032559021</v>
      </c>
      <c r="K10" s="249">
        <v>-10.413158247128974</v>
      </c>
      <c r="L10" s="249">
        <v>0.9134691156143905</v>
      </c>
      <c r="M10" s="250">
        <v>0.7733280789138531</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71.86760377131091</v>
      </c>
      <c r="K11" s="249">
        <v>58.563765396423385</v>
      </c>
      <c r="L11" s="249">
        <v>-10.659338018668436</v>
      </c>
      <c r="M11" s="250">
        <v>0.8780308783623526</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-58.563765396423385</v>
      </c>
      <c r="K12" s="254">
        <v>71.86760377131091</v>
      </c>
      <c r="L12" s="254">
        <v>-0.8780308783623526</v>
      </c>
      <c r="M12" s="255">
        <v>-10.659338018668436</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0.9999937807</v>
      </c>
      <c r="W20" s="249">
        <v>0.006108649849222048</v>
      </c>
      <c r="X20" s="249">
        <v>-0.011111097290506636</v>
      </c>
      <c r="Y20" s="250">
        <v>-2.2624634431527972E-5</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-0.006108649849222048</v>
      </c>
      <c r="W21" s="249">
        <v>0.999993780728232</v>
      </c>
      <c r="X21" s="249">
        <v>2.2624634431527972E-5</v>
      </c>
      <c r="Y21" s="250">
        <v>-0.011111097290506636</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0.0022389376375876527</v>
      </c>
      <c r="W22" s="249">
        <v>-1.0995560610670785</v>
      </c>
      <c r="X22" s="249">
        <v>0.999993780728232</v>
      </c>
      <c r="Y22" s="250">
        <v>0.006108649849222048</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1.0995560610670785</v>
      </c>
      <c r="W23" s="254">
        <v>0.0022389376375876527</v>
      </c>
      <c r="X23" s="254">
        <v>-0.006108649849222048</v>
      </c>
      <c r="Y23" s="255">
        <v>0.999993780728232</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1</v>
      </c>
      <c r="D7" s="347">
        <f>'Calcoli componente'!E7</f>
        <v>11.1</v>
      </c>
      <c r="E7" s="348">
        <f>'Calcoli componente'!G7</f>
        <v>0.7</v>
      </c>
      <c r="F7" s="349">
        <f>'Calcoli componente'!J7</f>
        <v>0.111</v>
      </c>
      <c r="G7" s="350">
        <f>'Calcoli componente'!K7</f>
        <v>0.01428571429</v>
      </c>
      <c r="H7" s="282"/>
      <c r="I7" s="328" t="s">
        <v>367</v>
      </c>
      <c r="J7" s="351">
        <f>0</f>
        <v>0</v>
      </c>
      <c r="K7" s="352">
        <f>K6-(K$6-K$18)*0.25/$G$19</f>
        <v>17.29768494</v>
      </c>
      <c r="L7" s="309" t="str">
        <f t="shared" si="1"/>
        <v>#NAME?</v>
      </c>
      <c r="M7" s="309">
        <f>M6</f>
        <v>1389.18</v>
      </c>
      <c r="N7" s="309">
        <v>0.0</v>
      </c>
      <c r="O7" s="309" t="str">
        <f>IF(AND(N7&gt;0,N7=MAX(N$7:N$17)),1,0)</f>
        <v>#NAME?</v>
      </c>
      <c r="P7" s="309">
        <f>M7</f>
        <v>1389.18</v>
      </c>
      <c r="Q7" s="250" t="str">
        <f>0.0000000002*(P7-P8)/($J8-$J7)</f>
        <v>#NAME?</v>
      </c>
      <c r="R7" s="352">
        <f>R6-(R$6-R$18)*0.25/$G$19</f>
        <v>17.68372995</v>
      </c>
      <c r="S7" s="309" t="str">
        <f t="shared" si="2"/>
        <v>#NAME?</v>
      </c>
      <c r="T7" s="309">
        <f>T6</f>
        <v>1354.44</v>
      </c>
      <c r="U7" s="309">
        <v>0.0</v>
      </c>
      <c r="V7" s="309" t="str">
        <f>IF(AND(U7&gt;0,U7=MAX(U$7:U$17)),1,0)</f>
        <v>#NAME?</v>
      </c>
      <c r="W7" s="309">
        <f>T7</f>
        <v>1354.44</v>
      </c>
      <c r="X7" s="250" t="str">
        <f>0.0000000002*(W7-W8)/($J8-$J7)</f>
        <v>#NAME?</v>
      </c>
      <c r="Y7" s="352">
        <f>Y6-(Y$6-Y$18)*0.25/$G$19</f>
        <v>18.37309604</v>
      </c>
      <c r="Z7" s="309" t="str">
        <f t="shared" si="3"/>
        <v>#NAME?</v>
      </c>
      <c r="AA7" s="309">
        <f>AA6</f>
        <v>1108.69</v>
      </c>
      <c r="AB7" s="309">
        <v>0.0</v>
      </c>
      <c r="AC7" s="309" t="str">
        <f>IF(AND(AB7&gt;0,AB7=MAX(AB$7:AB$17)),1,0)</f>
        <v>#NAME?</v>
      </c>
      <c r="AD7" s="309">
        <f>AA7</f>
        <v>1108.69</v>
      </c>
      <c r="AE7" s="250" t="str">
        <f>0.0000000002*(AD7-AD8)/($J8-$J7)</f>
        <v>#NAME?</v>
      </c>
      <c r="AF7" s="352">
        <f>AF6-(AF$6-AF$18)*0.25/$G$19</f>
        <v>18.99352551</v>
      </c>
      <c r="AG7" s="309" t="str">
        <f t="shared" si="4"/>
        <v>#NAME?</v>
      </c>
      <c r="AH7" s="309">
        <f>AH6</f>
        <v>1129.215</v>
      </c>
      <c r="AI7" s="309">
        <v>0.0</v>
      </c>
      <c r="AJ7" s="309" t="str">
        <f>IF(AND(AI7&gt;0,AI7=MAX(AI$7:AI$17)),1,0)</f>
        <v>#NAME?</v>
      </c>
      <c r="AK7" s="309">
        <f>AH7</f>
        <v>1129.215</v>
      </c>
      <c r="AL7" s="250" t="str">
        <f>0.0000000002*(AK7-AK8)/($J8-$J7)</f>
        <v>#NAME?</v>
      </c>
      <c r="AM7" s="352">
        <f>AM6-(AM$6-AM$18)*0.25/$G$19</f>
        <v>19.54501838</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19.83455214</v>
      </c>
      <c r="BP7" s="309" t="str">
        <f t="shared" si="9"/>
        <v>#NAME?</v>
      </c>
      <c r="BQ7" s="309">
        <f>BQ6</f>
        <v>1557.46</v>
      </c>
      <c r="BR7" s="309">
        <v>0.0</v>
      </c>
      <c r="BS7" s="309" t="str">
        <f>IF(AND(BR7&gt;0,BR7=MAX(BR$7:BR$17)),1,0)</f>
        <v>#NAME?</v>
      </c>
      <c r="BT7" s="309">
        <f>BQ7</f>
        <v>1557.46</v>
      </c>
      <c r="BU7" s="250" t="str">
        <f>0.0000000002*(BT7-BT8)/($J8-$J7)</f>
        <v>#NAME?</v>
      </c>
      <c r="BV7" s="352">
        <f>BV6-(BV$6-BV$18)*0.25/$G$19</f>
        <v>18.97973819</v>
      </c>
      <c r="BW7" s="309" t="str">
        <f t="shared" si="10"/>
        <v>#NAME?</v>
      </c>
      <c r="BX7" s="309">
        <f>BX6</f>
        <v>1509.67</v>
      </c>
      <c r="BY7" s="309">
        <v>0.0</v>
      </c>
      <c r="BZ7" s="309" t="str">
        <f>IF(AND(BY7&gt;0,BY7=MAX(BY$7:BY$17)),1,0)</f>
        <v>#NAME?</v>
      </c>
      <c r="CA7" s="309">
        <f>BX7</f>
        <v>1509.67</v>
      </c>
      <c r="CB7" s="250" t="str">
        <f>0.0000000002*(CA7-CA8)/($J8-$J7)</f>
        <v>#NAME?</v>
      </c>
      <c r="CC7" s="352">
        <f>CC6-(CC$6-CC$18)*0.25/$G$19</f>
        <v>18.18007353</v>
      </c>
      <c r="CD7" s="309" t="str">
        <f t="shared" si="11"/>
        <v>#NAME?</v>
      </c>
      <c r="CE7" s="309">
        <f>CE6</f>
        <v>1429.06</v>
      </c>
      <c r="CF7" s="309">
        <v>0.0</v>
      </c>
      <c r="CG7" s="309" t="str">
        <f>IF(AND(CF7&gt;0,CF7=MAX(CF$7:CF$17)),1,0)</f>
        <v>#NAME?</v>
      </c>
      <c r="CH7" s="309">
        <f>CE7</f>
        <v>1429.06</v>
      </c>
      <c r="CI7" s="250" t="str">
        <f>0.0000000002*(CH7-CH8)/($J8-$J7)</f>
        <v>#NAME?</v>
      </c>
      <c r="CJ7" s="352">
        <f>CJ6-(CJ$6-CJ$18)*0.25/$G$19</f>
        <v>17.51828209</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laterizio forato</v>
      </c>
      <c r="C8" s="354">
        <f>'Calcoli componente'!C8</f>
        <v>34</v>
      </c>
      <c r="D8" s="308">
        <f>'Calcoli componente'!E8</f>
        <v>5.3</v>
      </c>
      <c r="E8" s="355">
        <f>'Calcoli componente'!G8</f>
        <v>0.72</v>
      </c>
      <c r="F8" s="356">
        <f>'Calcoli componente'!J8</f>
        <v>1.802</v>
      </c>
      <c r="G8" s="357">
        <f>'Calcoli componente'!K8</f>
        <v>0.4722222222</v>
      </c>
      <c r="H8" s="282"/>
      <c r="I8" s="328" t="s">
        <v>368</v>
      </c>
      <c r="J8" s="351">
        <f t="shared" ref="J8:J17" si="13">J7+F7</f>
        <v>0.111</v>
      </c>
      <c r="K8" s="352">
        <f t="shared" ref="K8:K17" si="14">K7-(K$6-K$18)*$G7/$G$19</f>
        <v>17.14326694</v>
      </c>
      <c r="L8" s="309" t="str">
        <f t="shared" si="1"/>
        <v>#NAME?</v>
      </c>
      <c r="M8" s="309">
        <f t="shared" ref="M8:M16" si="15">M$7-(M$7-M$17)*$J8/$F$17</f>
        <v>1344.05757</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17.55137166</v>
      </c>
      <c r="S8" s="309" t="str">
        <f t="shared" si="2"/>
        <v>#NAME?</v>
      </c>
      <c r="T8" s="309">
        <f t="shared" ref="T8:T16" si="20">T$7-(T$7-T$17)*$J8/$F$17</f>
        <v>1315.763631</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18.2801301</v>
      </c>
      <c r="Z8" s="309" t="str">
        <f t="shared" si="3"/>
        <v>#NAME?</v>
      </c>
      <c r="AA8" s="309">
        <f t="shared" ref="AA8:AA16" si="25">AA$7-(AA$7-AA$17)*$J8/$F$17</f>
        <v>1081.524455</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18.93601269</v>
      </c>
      <c r="AG8" s="309" t="str">
        <f t="shared" si="4"/>
        <v>#NAME?</v>
      </c>
      <c r="AH8" s="309">
        <f t="shared" ref="AH8:AH16" si="30">AH$7-(AH$7-AH$17)*$J8/$F$17</f>
        <v>1112.409197</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19.51901943</v>
      </c>
      <c r="AN8" s="309" t="str">
        <f t="shared" si="5"/>
        <v>#NAME?</v>
      </c>
      <c r="AO8" s="309">
        <f t="shared" ref="AO8:AO16" si="35">AO$7-(AO$7-AO$17)*$J8/$F$17</f>
        <v>1374.417856</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19.82509798</v>
      </c>
      <c r="BP8" s="309" t="str">
        <f t="shared" si="9"/>
        <v>#NAME?</v>
      </c>
      <c r="BQ8" s="309">
        <f t="shared" ref="BQ8:BQ16" si="55">BQ$7-(BQ$7-BQ$17)*$J8/$F$17</f>
        <v>1554.697402</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18.92143752</v>
      </c>
      <c r="BW8" s="309" t="str">
        <f t="shared" si="10"/>
        <v>#NAME?</v>
      </c>
      <c r="BX8" s="309">
        <f t="shared" ref="BX8:BX16" si="60">BX$7-(BX$7-BX$17)*$J8/$F$17</f>
        <v>1492.63398</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18.07607773</v>
      </c>
      <c r="CD8" s="309" t="str">
        <f t="shared" si="11"/>
        <v>#NAME?</v>
      </c>
      <c r="CE8" s="309">
        <f t="shared" ref="CE8:CE16" si="65">CE$7-(CE$7-CE$17)*$J8/$F$17</f>
        <v>1398.671425</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17.37646964</v>
      </c>
      <c r="CK8" s="309" t="str">
        <f t="shared" si="12"/>
        <v>#NAME?</v>
      </c>
      <c r="CL8" s="309">
        <f t="shared" ref="CL8:CL16" si="70">CL$7-(CL$7-CL$17)*$J8/$F$17</f>
        <v>1366.461034</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4</v>
      </c>
      <c r="D9" s="308" t="str">
        <f>'Calcoli componente'!E9</f>
        <v/>
      </c>
      <c r="E9" s="355">
        <f>'Calcoli componente'!G9</f>
        <v>0.039</v>
      </c>
      <c r="F9" s="356">
        <f>'Calcoli componente'!J9</f>
        <v>0</v>
      </c>
      <c r="G9" s="357">
        <f>'Calcoli componente'!K9</f>
        <v>1.025641026</v>
      </c>
      <c r="H9" s="282"/>
      <c r="I9" s="328" t="s">
        <v>369</v>
      </c>
      <c r="J9" s="351">
        <f t="shared" si="13"/>
        <v>1.913</v>
      </c>
      <c r="K9" s="352">
        <f t="shared" si="14"/>
        <v>12.03889405</v>
      </c>
      <c r="L9" s="309" t="str">
        <f t="shared" si="1"/>
        <v>#NAME?</v>
      </c>
      <c r="M9" s="309">
        <f t="shared" si="15"/>
        <v>611.5294693</v>
      </c>
      <c r="N9" s="309" t="str">
        <f t="shared" si="16"/>
        <v>#NAME?</v>
      </c>
      <c r="O9" s="309" t="str">
        <f>IF(AND(N9&gt;0,N9=MAX(N$7:N$17)),3,0)</f>
        <v>#NAME?</v>
      </c>
      <c r="P9" s="309" t="str">
        <f t="shared" si="17"/>
        <v>#NAME?</v>
      </c>
      <c r="Q9" s="250" t="str">
        <f t="shared" si="18"/>
        <v>#NAME?</v>
      </c>
      <c r="R9" s="352">
        <f t="shared" si="19"/>
        <v>13.1761949</v>
      </c>
      <c r="S9" s="309" t="str">
        <f t="shared" si="2"/>
        <v>#NAME?</v>
      </c>
      <c r="T9" s="309">
        <f t="shared" si="20"/>
        <v>687.8824022</v>
      </c>
      <c r="U9" s="309" t="str">
        <f t="shared" si="21"/>
        <v>#NAME?</v>
      </c>
      <c r="V9" s="309" t="str">
        <f>IF(AND(U9&gt;0,U9=MAX(U$7:U$17)),3,0)</f>
        <v>#NAME?</v>
      </c>
      <c r="W9" s="309" t="str">
        <f t="shared" si="22"/>
        <v>#NAME?</v>
      </c>
      <c r="X9" s="250" t="str">
        <f t="shared" si="23"/>
        <v>#NAME?</v>
      </c>
      <c r="Y9" s="352">
        <f t="shared" si="24"/>
        <v>15.20708928</v>
      </c>
      <c r="Z9" s="309" t="str">
        <f t="shared" si="3"/>
        <v>#NAME?</v>
      </c>
      <c r="AA9" s="309">
        <f t="shared" si="25"/>
        <v>640.5126397</v>
      </c>
      <c r="AB9" s="309" t="str">
        <f t="shared" si="26"/>
        <v>#NAME?</v>
      </c>
      <c r="AC9" s="309" t="str">
        <f>IF(AND(AB9&gt;0,AB9=MAX(AB$7:AB$17)),3,0)</f>
        <v>#NAME?</v>
      </c>
      <c r="AD9" s="309" t="str">
        <f t="shared" si="27"/>
        <v>#NAME?</v>
      </c>
      <c r="AE9" s="250" t="str">
        <f t="shared" si="28"/>
        <v>#NAME?</v>
      </c>
      <c r="AF9" s="352">
        <f t="shared" si="29"/>
        <v>17.03489421</v>
      </c>
      <c r="AG9" s="309" t="str">
        <f t="shared" si="4"/>
        <v>#NAME?</v>
      </c>
      <c r="AH9" s="309">
        <f t="shared" si="30"/>
        <v>839.5798534</v>
      </c>
      <c r="AI9" s="309" t="str">
        <f t="shared" si="31"/>
        <v>#NAME?</v>
      </c>
      <c r="AJ9" s="309" t="str">
        <f>IF(AND(AI9&gt;0,AI9=MAX(AI$7:AI$17)),3,0)</f>
        <v>#NAME?</v>
      </c>
      <c r="AK9" s="309" t="str">
        <f t="shared" si="32"/>
        <v>#NAME?</v>
      </c>
      <c r="AL9" s="250" t="str">
        <f t="shared" si="33"/>
        <v>#NAME?</v>
      </c>
      <c r="AM9" s="352">
        <f t="shared" si="34"/>
        <v>18.65960971</v>
      </c>
      <c r="AN9" s="309" t="str">
        <f t="shared" si="5"/>
        <v>#NAME?</v>
      </c>
      <c r="AO9" s="309">
        <f t="shared" si="35"/>
        <v>1251.084043</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19.51258535</v>
      </c>
      <c r="BP9" s="309" t="str">
        <f t="shared" si="9"/>
        <v>#NAME?</v>
      </c>
      <c r="BQ9" s="309">
        <f t="shared" si="55"/>
        <v>1509.848743</v>
      </c>
      <c r="BR9" s="309" t="str">
        <f t="shared" si="56"/>
        <v>#NAME?</v>
      </c>
      <c r="BS9" s="309" t="str">
        <f>IF(AND(BR9&gt;0,BR9=MAX(BR$7:BR$17)),3,0)</f>
        <v>#NAME?</v>
      </c>
      <c r="BT9" s="309" t="str">
        <f t="shared" si="57"/>
        <v>#NAME?</v>
      </c>
      <c r="BU9" s="250" t="str">
        <f t="shared" si="58"/>
        <v>#NAME?</v>
      </c>
      <c r="BV9" s="352">
        <f t="shared" si="59"/>
        <v>16.99427633</v>
      </c>
      <c r="BW9" s="309" t="str">
        <f t="shared" si="10"/>
        <v>#NAME?</v>
      </c>
      <c r="BX9" s="309">
        <f t="shared" si="60"/>
        <v>1216.067249</v>
      </c>
      <c r="BY9" s="309" t="str">
        <f t="shared" si="61"/>
        <v>#NAME?</v>
      </c>
      <c r="BZ9" s="309" t="str">
        <f>IF(AND(BY9&gt;0,BY9=MAX(BY$7:BY$17)),3,0)</f>
        <v>#NAME?</v>
      </c>
      <c r="CA9" s="309" t="str">
        <f t="shared" si="62"/>
        <v>#NAME?</v>
      </c>
      <c r="CB9" s="250" t="str">
        <f t="shared" si="63"/>
        <v>#NAME?</v>
      </c>
      <c r="CC9" s="352">
        <f t="shared" si="64"/>
        <v>14.63843885</v>
      </c>
      <c r="CD9" s="309" t="str">
        <f t="shared" si="11"/>
        <v>#NAME?</v>
      </c>
      <c r="CE9" s="309">
        <f t="shared" si="65"/>
        <v>905.3361732</v>
      </c>
      <c r="CF9" s="309" t="str">
        <f t="shared" si="66"/>
        <v>#NAME?</v>
      </c>
      <c r="CG9" s="309" t="str">
        <f>IF(AND(CF9&gt;0,CF9=MAX(CF$7:CF$17)),3,0)</f>
        <v>#NAME?</v>
      </c>
      <c r="CH9" s="309" t="str">
        <f t="shared" si="67"/>
        <v>#NAME?</v>
      </c>
      <c r="CI9" s="250" t="str">
        <f t="shared" si="68"/>
        <v>#NAME?</v>
      </c>
      <c r="CJ9" s="352">
        <f t="shared" si="69"/>
        <v>12.68878025</v>
      </c>
      <c r="CK9" s="309" t="str">
        <f t="shared" si="12"/>
        <v>#NAME?</v>
      </c>
      <c r="CL9" s="309">
        <f t="shared" si="70"/>
        <v>693.7311453</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1</v>
      </c>
      <c r="D10" s="308">
        <f>'Calcoli componente'!E10</f>
        <v>23.5</v>
      </c>
      <c r="E10" s="355">
        <f>'Calcoli componente'!G10</f>
        <v>0.9</v>
      </c>
      <c r="F10" s="356">
        <f>'Calcoli componente'!J10</f>
        <v>0.235</v>
      </c>
      <c r="G10" s="357">
        <f>'Calcoli componente'!K10</f>
        <v>0.01111111111</v>
      </c>
      <c r="H10" s="282"/>
      <c r="I10" s="328" t="s">
        <v>370</v>
      </c>
      <c r="J10" s="351">
        <f t="shared" si="13"/>
        <v>1.913</v>
      </c>
      <c r="K10" s="352">
        <f t="shared" si="14"/>
        <v>0.9524733007</v>
      </c>
      <c r="L10" s="309" t="str">
        <f t="shared" si="1"/>
        <v>#NAME?</v>
      </c>
      <c r="M10" s="309">
        <f t="shared" si="15"/>
        <v>611.5294693</v>
      </c>
      <c r="N10" s="309" t="str">
        <f t="shared" si="16"/>
        <v>#NAME?</v>
      </c>
      <c r="O10" s="309" t="str">
        <f>IF(AND(N10&gt;0,N10=MAX(N$7:N$17)),4,0)</f>
        <v>#NAME?</v>
      </c>
      <c r="P10" s="309" t="str">
        <f t="shared" si="17"/>
        <v>#NAME?</v>
      </c>
      <c r="Q10" s="250" t="str">
        <f t="shared" si="18"/>
        <v>#NAME?</v>
      </c>
      <c r="R10" s="352">
        <f t="shared" si="19"/>
        <v>3.673548543</v>
      </c>
      <c r="S10" s="309" t="str">
        <f t="shared" si="2"/>
        <v>#NAME?</v>
      </c>
      <c r="T10" s="309">
        <f t="shared" si="20"/>
        <v>687.8824022</v>
      </c>
      <c r="U10" s="309" t="str">
        <f t="shared" si="21"/>
        <v>#NAME?</v>
      </c>
      <c r="V10" s="309" t="str">
        <f>IF(AND(U10&gt;0,U10=MAX(U$7:U$17)),4,0)</f>
        <v>#NAME?</v>
      </c>
      <c r="W10" s="309" t="str">
        <f t="shared" si="22"/>
        <v>#NAME?</v>
      </c>
      <c r="X10" s="250" t="str">
        <f t="shared" si="23"/>
        <v>#NAME?</v>
      </c>
      <c r="Y10" s="352">
        <f t="shared" si="24"/>
        <v>8.532611477</v>
      </c>
      <c r="Z10" s="309" t="str">
        <f t="shared" si="3"/>
        <v>#NAME?</v>
      </c>
      <c r="AA10" s="309">
        <f t="shared" si="25"/>
        <v>640.5126397</v>
      </c>
      <c r="AB10" s="309" t="str">
        <f t="shared" si="26"/>
        <v>#NAME?</v>
      </c>
      <c r="AC10" s="309" t="str">
        <f>IF(AND(AB10&gt;0,AB10=MAX(AB$7:AB$17)),4,0)</f>
        <v>#NAME?</v>
      </c>
      <c r="AD10" s="309" t="str">
        <f t="shared" si="27"/>
        <v>#NAME?</v>
      </c>
      <c r="AE10" s="250" t="str">
        <f t="shared" si="28"/>
        <v>#NAME?</v>
      </c>
      <c r="AF10" s="352">
        <f t="shared" si="29"/>
        <v>12.90576812</v>
      </c>
      <c r="AG10" s="309" t="str">
        <f t="shared" si="4"/>
        <v>#NAME?</v>
      </c>
      <c r="AH10" s="309">
        <f t="shared" si="30"/>
        <v>839.5798534</v>
      </c>
      <c r="AI10" s="309" t="str">
        <f t="shared" si="31"/>
        <v>#NAME?</v>
      </c>
      <c r="AJ10" s="309" t="str">
        <f>IF(AND(AI10&gt;0,AI10=MAX(AI$7:AI$17)),4,0)</f>
        <v>#NAME?</v>
      </c>
      <c r="AK10" s="309" t="str">
        <f t="shared" si="32"/>
        <v>#NAME?</v>
      </c>
      <c r="AL10" s="250" t="str">
        <f t="shared" si="33"/>
        <v>#NAME?</v>
      </c>
      <c r="AM10" s="352">
        <f t="shared" si="34"/>
        <v>16.79301846</v>
      </c>
      <c r="AN10" s="309" t="str">
        <f t="shared" si="5"/>
        <v>#NAME?</v>
      </c>
      <c r="AO10" s="309">
        <f t="shared" si="35"/>
        <v>1251.084043</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18.8338249</v>
      </c>
      <c r="BP10" s="309" t="str">
        <f t="shared" si="9"/>
        <v>#NAME?</v>
      </c>
      <c r="BQ10" s="309">
        <f t="shared" si="55"/>
        <v>1509.848743</v>
      </c>
      <c r="BR10" s="309" t="str">
        <f t="shared" si="56"/>
        <v>#NAME?</v>
      </c>
      <c r="BS10" s="309" t="str">
        <f>IF(AND(BR10&gt;0,BR10=MAX(BR$7:BR$17)),4,0)</f>
        <v>#NAME?</v>
      </c>
      <c r="BT10" s="309" t="str">
        <f t="shared" si="57"/>
        <v>#NAME?</v>
      </c>
      <c r="BU10" s="250" t="str">
        <f t="shared" si="58"/>
        <v>#NAME?</v>
      </c>
      <c r="BV10" s="352">
        <f t="shared" si="59"/>
        <v>12.80858686</v>
      </c>
      <c r="BW10" s="309" t="str">
        <f t="shared" si="10"/>
        <v>#NAME?</v>
      </c>
      <c r="BX10" s="309">
        <f t="shared" si="60"/>
        <v>1216.067249</v>
      </c>
      <c r="BY10" s="309" t="str">
        <f t="shared" si="61"/>
        <v>#NAME?</v>
      </c>
      <c r="BZ10" s="309" t="str">
        <f>IF(AND(BY10&gt;0,BY10=MAX(BY$7:BY$17)),4,0)</f>
        <v>#NAME?</v>
      </c>
      <c r="CA10" s="309" t="str">
        <f t="shared" si="62"/>
        <v>#NAME?</v>
      </c>
      <c r="CB10" s="250" t="str">
        <f t="shared" si="63"/>
        <v>#NAME?</v>
      </c>
      <c r="CC10" s="352">
        <f t="shared" si="64"/>
        <v>7.172073856</v>
      </c>
      <c r="CD10" s="309" t="str">
        <f t="shared" si="11"/>
        <v>#NAME?</v>
      </c>
      <c r="CE10" s="309">
        <f t="shared" si="65"/>
        <v>905.3361732</v>
      </c>
      <c r="CF10" s="309" t="str">
        <f t="shared" si="66"/>
        <v>#NAME?</v>
      </c>
      <c r="CG10" s="309" t="str">
        <f>IF(AND(CF10&gt;0,CF10=MAX(CF$7:CF$17)),4,0)</f>
        <v>#NAME?</v>
      </c>
      <c r="CH10" s="309" t="str">
        <f t="shared" si="67"/>
        <v>#NAME?</v>
      </c>
      <c r="CI10" s="250" t="str">
        <f t="shared" si="68"/>
        <v>#NAME?</v>
      </c>
      <c r="CJ10" s="352">
        <f t="shared" si="69"/>
        <v>2.507373439</v>
      </c>
      <c r="CK10" s="309" t="str">
        <f t="shared" si="12"/>
        <v>#NAME?</v>
      </c>
      <c r="CL10" s="309">
        <f t="shared" si="70"/>
        <v>693.7311453</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2.148</v>
      </c>
      <c r="K11" s="352">
        <f t="shared" si="14"/>
        <v>0.8323704093</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3.570603208</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8.460304634</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12.86103592</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16.77279706</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18.82647166</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12.76324189</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7.091188235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2.397074866</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2.148</v>
      </c>
      <c r="K12" s="352">
        <f t="shared" si="14"/>
        <v>0.8323704093</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3.570603208</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8.460304634</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12.86103592</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16.77279706</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18.82647166</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12.76324189</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7.091188235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2.397074866</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2.148</v>
      </c>
      <c r="K13" s="352">
        <f t="shared" si="14"/>
        <v>0.8323704093</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3.570603208</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8.460304634</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12.86103592</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16.77279706</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18.82647166</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12.76324189</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7.091188235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2.397074866</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2.148</v>
      </c>
      <c r="K14" s="352">
        <f t="shared" si="14"/>
        <v>0.8323704093</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3.570603208</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8.460304634</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12.86103592</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16.77279706</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18.82647166</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12.76324189</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7.091188235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2.397074866</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2.148</v>
      </c>
      <c r="K15" s="352">
        <f t="shared" si="14"/>
        <v>0.8323704093</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3.570603208</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8.460304634</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12.86103592</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16.77279706</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18.82647166</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12.76324189</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7.091188235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2.397074866</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2.148</v>
      </c>
      <c r="K16" s="352">
        <f t="shared" si="14"/>
        <v>0.8323704093</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3.570603208</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8.460304634</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12.86103592</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16.77279706</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18.82647166</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12.76324189</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7.091188235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2.397074866</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40</v>
      </c>
      <c r="D17" s="363"/>
      <c r="E17" s="365"/>
      <c r="F17" s="366">
        <f t="shared" ref="F17:G17" si="74">SUM(F$7:F$16)</f>
        <v>2.148</v>
      </c>
      <c r="G17" s="367">
        <f t="shared" si="74"/>
        <v>1.523260073</v>
      </c>
      <c r="H17" s="282"/>
      <c r="I17" s="328" t="s">
        <v>377</v>
      </c>
      <c r="J17" s="351">
        <f t="shared" si="13"/>
        <v>2.148</v>
      </c>
      <c r="K17" s="352">
        <f t="shared" si="14"/>
        <v>0.8323704093</v>
      </c>
      <c r="L17" s="309" t="str">
        <f t="shared" si="1"/>
        <v>#NAME?</v>
      </c>
      <c r="M17" s="309">
        <f>M18</f>
        <v>516</v>
      </c>
      <c r="N17" s="309" t="str">
        <f t="shared" si="16"/>
        <v>#NAME?</v>
      </c>
      <c r="O17" s="309" t="str">
        <f>IF(AND(N17&gt;0,N17=MAX(N$7:N$17)),11,0)</f>
        <v>#NAME?</v>
      </c>
      <c r="P17" s="309">
        <f>M17</f>
        <v>516</v>
      </c>
      <c r="Q17" s="368"/>
      <c r="R17" s="352">
        <f t="shared" si="19"/>
        <v>3.570603208</v>
      </c>
      <c r="S17" s="309" t="str">
        <f t="shared" si="2"/>
        <v>#NAME?</v>
      </c>
      <c r="T17" s="309">
        <f>T18</f>
        <v>606</v>
      </c>
      <c r="U17" s="309" t="str">
        <f t="shared" si="21"/>
        <v>#NAME?</v>
      </c>
      <c r="V17" s="309" t="str">
        <f>IF(AND(U17&gt;0,U17=MAX(U$7:U$17)),11,0)</f>
        <v>#NAME?</v>
      </c>
      <c r="W17" s="309">
        <f>T17</f>
        <v>606</v>
      </c>
      <c r="X17" s="368"/>
      <c r="Y17" s="352">
        <f t="shared" si="24"/>
        <v>8.460304634</v>
      </c>
      <c r="Z17" s="309" t="str">
        <f t="shared" si="3"/>
        <v>#NAME?</v>
      </c>
      <c r="AA17" s="309">
        <f>AA18</f>
        <v>583</v>
      </c>
      <c r="AB17" s="309" t="str">
        <f t="shared" si="26"/>
        <v>#NAME?</v>
      </c>
      <c r="AC17" s="309" t="str">
        <f>IF(AND(AB17&gt;0,AB17=MAX(AB$7:AB$17)),11,0)</f>
        <v>#NAME?</v>
      </c>
      <c r="AD17" s="309">
        <f>AA17</f>
        <v>583</v>
      </c>
      <c r="AE17" s="368"/>
      <c r="AF17" s="352">
        <f t="shared" si="29"/>
        <v>12.86103592</v>
      </c>
      <c r="AG17" s="309" t="str">
        <f t="shared" si="4"/>
        <v>#NAME?</v>
      </c>
      <c r="AH17" s="309">
        <f>AH18</f>
        <v>804</v>
      </c>
      <c r="AI17" s="309" t="str">
        <f t="shared" si="31"/>
        <v>#NAME?</v>
      </c>
      <c r="AJ17" s="309" t="str">
        <f>IF(AND(AI17&gt;0,AI17=MAX(AI$7:AI$17)),11,0)</f>
        <v>#NAME?</v>
      </c>
      <c r="AK17" s="309">
        <f>AH17</f>
        <v>804</v>
      </c>
      <c r="AL17" s="368"/>
      <c r="AM17" s="352">
        <f t="shared" si="34"/>
        <v>16.77279706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18.82647166</v>
      </c>
      <c r="BP17" s="309" t="str">
        <f t="shared" si="9"/>
        <v>#NAME?</v>
      </c>
      <c r="BQ17" s="309">
        <f>BQ18</f>
        <v>1504</v>
      </c>
      <c r="BR17" s="309" t="str">
        <f t="shared" si="56"/>
        <v>#NAME?</v>
      </c>
      <c r="BS17" s="309" t="str">
        <f>IF(AND(BR17&gt;0,BR17=MAX(BR$7:BR$17)),11,0)</f>
        <v>#NAME?</v>
      </c>
      <c r="BT17" s="309">
        <f>BQ17</f>
        <v>1504</v>
      </c>
      <c r="BU17" s="368"/>
      <c r="BV17" s="352">
        <f t="shared" si="59"/>
        <v>12.76324189</v>
      </c>
      <c r="BW17" s="309" t="str">
        <f t="shared" si="10"/>
        <v>#NAME?</v>
      </c>
      <c r="BX17" s="309">
        <f>BX18</f>
        <v>1180</v>
      </c>
      <c r="BY17" s="309" t="str">
        <f t="shared" si="61"/>
        <v>#NAME?</v>
      </c>
      <c r="BZ17" s="309" t="str">
        <f>IF(AND(BY17&gt;0,BY17=MAX(BY$7:BY$17)),11,0)</f>
        <v>#NAME?</v>
      </c>
      <c r="CA17" s="309">
        <f>BX17</f>
        <v>1180</v>
      </c>
      <c r="CB17" s="368"/>
      <c r="CC17" s="352">
        <f t="shared" si="64"/>
        <v>7.091188235</v>
      </c>
      <c r="CD17" s="309" t="str">
        <f t="shared" si="11"/>
        <v>#NAME?</v>
      </c>
      <c r="CE17" s="309">
        <f>CE18</f>
        <v>841</v>
      </c>
      <c r="CF17" s="309" t="str">
        <f t="shared" si="66"/>
        <v>#NAME?</v>
      </c>
      <c r="CG17" s="309" t="str">
        <f>IF(AND(CF17&gt;0,CF17=MAX(CF$7:CF$17)),11,0)</f>
        <v>#NAME?</v>
      </c>
      <c r="CH17" s="309">
        <f>CE17</f>
        <v>841</v>
      </c>
      <c r="CI17" s="368"/>
      <c r="CJ17" s="352">
        <f t="shared" si="69"/>
        <v>2.397074866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1.813260073</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0.8621267828</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0.111</v>
      </c>
      <c r="F31" s="387">
        <f t="shared" ref="F31:F40" si="80">F30+F7</f>
        <v>0.111</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1.913</v>
      </c>
      <c r="F32" s="387">
        <f t="shared" si="80"/>
        <v>1.913</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1.913</v>
      </c>
      <c r="F33" s="387">
        <f t="shared" si="80"/>
        <v>1.913</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2.148</v>
      </c>
      <c r="F34" s="387">
        <f t="shared" si="80"/>
        <v>2.148</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2.148</v>
      </c>
      <c r="F35" s="387">
        <f t="shared" si="80"/>
        <v>2.148</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2.148</v>
      </c>
      <c r="F36" s="387">
        <f t="shared" si="80"/>
        <v>2.148</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2.148</v>
      </c>
      <c r="F37" s="387">
        <f t="shared" si="80"/>
        <v>2.148</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2.148</v>
      </c>
      <c r="F38" s="387">
        <f t="shared" si="80"/>
        <v>2.148</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2.148</v>
      </c>
      <c r="F39" s="387">
        <f t="shared" si="80"/>
        <v>2.148</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2.148</v>
      </c>
      <c r="F40" s="315">
        <f t="shared" si="80"/>
        <v>2.148</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0.5905767317</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35</v>
      </c>
      <c r="C6" s="426">
        <f>C5+'Caratteristiche componente'!$D8</f>
        <v>35</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39</v>
      </c>
      <c r="C7" s="426">
        <f>C6+'Caratteristiche componente'!$D9</f>
        <v>39</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40</v>
      </c>
      <c r="C8" s="426">
        <f>C7+'Caratteristiche componente'!$D10</f>
        <v>40</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40</v>
      </c>
      <c r="C9" s="426">
        <f>C8+'Caratteristiche componente'!$D11</f>
        <v>40</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40</v>
      </c>
      <c r="C10" s="426">
        <f>C9+'Caratteristiche componente'!$D12</f>
        <v>40</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40</v>
      </c>
      <c r="C11" s="426">
        <f>C10+'Caratteristiche componente'!$D13</f>
        <v>40</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40</v>
      </c>
      <c r="C12" s="426">
        <f>C11+'Caratteristiche componente'!$D14</f>
        <v>40</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40</v>
      </c>
      <c r="C13" s="426">
        <f>C12+'Caratteristiche componente'!$D15</f>
        <v>40</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40</v>
      </c>
      <c r="C14" s="426">
        <f>C13+'Caratteristiche componente'!$D16</f>
        <v>40</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